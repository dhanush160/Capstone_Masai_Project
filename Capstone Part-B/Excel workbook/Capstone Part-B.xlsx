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3"/>
  <workbookPr defaultThemeVersion="166925"/>
  <xr:revisionPtr revIDLastSave="280" documentId="11_E60897F41BE170836B02CE998F75CCDC64E183C8" xr6:coauthVersionLast="47" xr6:coauthVersionMax="47" xr10:uidLastSave="{17891E8D-59E8-414F-98C9-1E96CF97DEB6}"/>
  <bookViews>
    <workbookView xWindow="240" yWindow="105" windowWidth="14805" windowHeight="8010" firstSheet="1" activeTab="1" xr2:uid="{00000000-000D-0000-FFFF-FFFF00000000}"/>
  </bookViews>
  <sheets>
    <sheet name="orders" sheetId="1" r:id="rId1"/>
    <sheet name="products" sheetId="2" r:id="rId2"/>
    <sheet name="completed_orders" sheetId="3" r:id="rId3"/>
    <sheet name="Pivot table-1" sheetId="4" r:id="rId4"/>
    <sheet name="Pivot table-2" sheetId="5" r:id="rId5"/>
  </sheets>
  <definedNames>
    <definedName name="_xlnm._FilterDatabase" localSheetId="0" hidden="1">orders!$A$1:$O$1</definedName>
  </definedNames>
  <calcPr calcId="191028"/>
  <pivotCaches>
    <pivotCache cacheId="60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65" i="3" l="1"/>
  <c r="P6" i="3"/>
  <c r="P5" i="3"/>
  <c r="P4" i="3"/>
  <c r="P3" i="3"/>
  <c r="P2" i="3"/>
  <c r="H2" i="3"/>
  <c r="I2" i="3"/>
  <c r="L2" i="3"/>
  <c r="H3" i="3"/>
  <c r="I3" i="3"/>
  <c r="L3" i="3"/>
  <c r="H4" i="3"/>
  <c r="I4" i="3"/>
  <c r="L4" i="3"/>
  <c r="H5" i="3"/>
  <c r="I5" i="3"/>
  <c r="L5" i="3"/>
  <c r="H6" i="3"/>
  <c r="I6" i="3"/>
  <c r="L6" i="3"/>
  <c r="H7" i="3"/>
  <c r="I7" i="3"/>
  <c r="L7" i="3"/>
  <c r="H8" i="3"/>
  <c r="I8" i="3"/>
  <c r="L8" i="3"/>
  <c r="H9" i="3"/>
  <c r="I9" i="3"/>
  <c r="L9" i="3"/>
  <c r="H10" i="3"/>
  <c r="I10" i="3"/>
  <c r="L10" i="3"/>
  <c r="H11" i="3"/>
  <c r="I11" i="3"/>
  <c r="L11" i="3"/>
  <c r="H12" i="3"/>
  <c r="I12" i="3"/>
  <c r="L12" i="3"/>
  <c r="H13" i="3"/>
  <c r="I13" i="3"/>
  <c r="L13" i="3"/>
  <c r="H14" i="3"/>
  <c r="I14" i="3"/>
  <c r="L14" i="3"/>
  <c r="H15" i="3"/>
  <c r="I15" i="3"/>
  <c r="L15" i="3"/>
  <c r="H16" i="3"/>
  <c r="I16" i="3"/>
  <c r="L16" i="3"/>
  <c r="H17" i="3"/>
  <c r="I17" i="3"/>
  <c r="L17" i="3"/>
  <c r="H18" i="3"/>
  <c r="I18" i="3"/>
  <c r="L18" i="3"/>
  <c r="H19" i="3"/>
  <c r="I19" i="3"/>
  <c r="L19" i="3"/>
  <c r="H20" i="3"/>
  <c r="I20" i="3"/>
  <c r="L20" i="3"/>
  <c r="H21" i="3"/>
  <c r="I21" i="3"/>
  <c r="L21" i="3"/>
  <c r="H22" i="3"/>
  <c r="I22" i="3"/>
  <c r="L22" i="3"/>
  <c r="H23" i="3"/>
  <c r="I23" i="3"/>
  <c r="L23" i="3"/>
  <c r="H24" i="3"/>
  <c r="I24" i="3"/>
  <c r="L24" i="3"/>
  <c r="H25" i="3"/>
  <c r="I25" i="3"/>
  <c r="L25" i="3"/>
  <c r="H26" i="3"/>
  <c r="I26" i="3"/>
  <c r="L26" i="3"/>
  <c r="H27" i="3"/>
  <c r="I27" i="3"/>
  <c r="L27" i="3"/>
  <c r="H28" i="3"/>
  <c r="I28" i="3"/>
  <c r="L28" i="3"/>
  <c r="H29" i="3"/>
  <c r="I29" i="3"/>
  <c r="L29" i="3"/>
  <c r="H30" i="3"/>
  <c r="I30" i="3"/>
  <c r="L30" i="3"/>
  <c r="H31" i="3"/>
  <c r="I31" i="3"/>
  <c r="L31" i="3"/>
  <c r="H32" i="3"/>
  <c r="I32" i="3"/>
  <c r="L32" i="3"/>
  <c r="H33" i="3"/>
  <c r="I33" i="3"/>
  <c r="L33" i="3"/>
  <c r="H34" i="3"/>
  <c r="I34" i="3"/>
  <c r="L34" i="3"/>
  <c r="H35" i="3"/>
  <c r="I35" i="3"/>
  <c r="L35" i="3"/>
  <c r="H36" i="3"/>
  <c r="I36" i="3"/>
  <c r="L36" i="3"/>
  <c r="H37" i="3"/>
  <c r="I37" i="3"/>
  <c r="L37" i="3"/>
  <c r="H38" i="3"/>
  <c r="I38" i="3"/>
  <c r="L38" i="3"/>
  <c r="H39" i="3"/>
  <c r="I39" i="3"/>
  <c r="L39" i="3"/>
  <c r="H40" i="3"/>
  <c r="I40" i="3"/>
  <c r="L40" i="3"/>
  <c r="H41" i="3"/>
  <c r="I41" i="3"/>
  <c r="L41" i="3"/>
  <c r="H42" i="3"/>
  <c r="I42" i="3"/>
  <c r="L42" i="3"/>
  <c r="H43" i="3"/>
  <c r="I43" i="3"/>
  <c r="L43" i="3"/>
  <c r="H44" i="3"/>
  <c r="I44" i="3"/>
  <c r="L44" i="3"/>
  <c r="H45" i="3"/>
  <c r="I45" i="3"/>
  <c r="L45" i="3"/>
  <c r="H46" i="3"/>
  <c r="I46" i="3"/>
  <c r="L46" i="3"/>
  <c r="H47" i="3"/>
  <c r="I47" i="3"/>
  <c r="L47" i="3"/>
  <c r="H48" i="3"/>
  <c r="I48" i="3"/>
  <c r="L48" i="3"/>
  <c r="H49" i="3"/>
  <c r="I49" i="3"/>
  <c r="L49" i="3"/>
  <c r="H50" i="3"/>
  <c r="I50" i="3"/>
  <c r="L50" i="3"/>
  <c r="H51" i="3"/>
  <c r="I51" i="3"/>
  <c r="L51" i="3"/>
  <c r="H52" i="3"/>
  <c r="I52" i="3"/>
  <c r="L52" i="3"/>
  <c r="H53" i="3"/>
  <c r="I53" i="3"/>
  <c r="L53" i="3"/>
  <c r="H54" i="3"/>
  <c r="I54" i="3"/>
  <c r="L54" i="3"/>
  <c r="H55" i="3"/>
  <c r="I55" i="3"/>
  <c r="L55" i="3"/>
  <c r="H56" i="3"/>
  <c r="I56" i="3"/>
  <c r="L56" i="3"/>
  <c r="H57" i="3"/>
  <c r="I57" i="3"/>
  <c r="L57" i="3"/>
  <c r="H58" i="3"/>
  <c r="I58" i="3"/>
  <c r="L58" i="3"/>
  <c r="H59" i="3"/>
  <c r="I59" i="3"/>
  <c r="L59" i="3"/>
  <c r="H60" i="3"/>
  <c r="I60" i="3"/>
  <c r="L60" i="3"/>
  <c r="H61" i="3"/>
  <c r="I61" i="3"/>
  <c r="L61" i="3"/>
  <c r="H62" i="3"/>
  <c r="I62" i="3"/>
  <c r="L62" i="3"/>
  <c r="H63" i="3"/>
  <c r="I63" i="3"/>
  <c r="L63" i="3"/>
  <c r="H64" i="3"/>
  <c r="I64" i="3"/>
  <c r="L64" i="3"/>
  <c r="E93" i="1"/>
  <c r="E94" i="1"/>
  <c r="E95" i="1"/>
  <c r="E96" i="1"/>
  <c r="K3" i="1"/>
  <c r="M3" i="1" s="1"/>
  <c r="K4" i="1"/>
  <c r="M4" i="1" s="1"/>
  <c r="K5" i="1"/>
  <c r="M5" i="1" s="1"/>
  <c r="K88" i="1"/>
  <c r="M88" i="1" s="1"/>
  <c r="K10" i="1"/>
  <c r="M10" i="1" s="1"/>
  <c r="K80" i="1"/>
  <c r="M80" i="1" s="1"/>
  <c r="K27" i="1"/>
  <c r="M27" i="1" s="1"/>
  <c r="K81" i="1"/>
  <c r="M81" i="1" s="1"/>
  <c r="K11" i="1"/>
  <c r="M11" i="1" s="1"/>
  <c r="K12" i="1"/>
  <c r="M12" i="1" s="1"/>
  <c r="K51" i="1"/>
  <c r="M51" i="1" s="1"/>
  <c r="K14" i="1"/>
  <c r="M14" i="1" s="1"/>
  <c r="K41" i="1"/>
  <c r="M41" i="1" s="1"/>
  <c r="K20" i="1"/>
  <c r="M20" i="1" s="1"/>
  <c r="K22" i="1"/>
  <c r="M22" i="1" s="1"/>
  <c r="K56" i="1"/>
  <c r="M56" i="1" s="1"/>
  <c r="K50" i="1"/>
  <c r="M50" i="1" s="1"/>
  <c r="K23" i="1"/>
  <c r="M23" i="1" s="1"/>
  <c r="K28" i="1"/>
  <c r="M28" i="1" s="1"/>
  <c r="K15" i="1"/>
  <c r="M15" i="1" s="1"/>
  <c r="K16" i="1"/>
  <c r="M16" i="1" s="1"/>
  <c r="K52" i="1"/>
  <c r="M52" i="1" s="1"/>
  <c r="K85" i="1"/>
  <c r="M85" i="1" s="1"/>
  <c r="K89" i="1"/>
  <c r="M89" i="1" s="1"/>
  <c r="K86" i="1"/>
  <c r="M86" i="1" s="1"/>
  <c r="K42" i="1"/>
  <c r="M42" i="1" s="1"/>
  <c r="K60" i="1"/>
  <c r="M60" i="1" s="1"/>
  <c r="K39" i="1"/>
  <c r="M39" i="1" s="1"/>
  <c r="K40" i="1"/>
  <c r="M40" i="1" s="1"/>
  <c r="K32" i="1"/>
  <c r="M32" i="1" s="1"/>
  <c r="K75" i="1"/>
  <c r="M75" i="1" s="1"/>
  <c r="K34" i="1"/>
  <c r="M34" i="1" s="1"/>
  <c r="K24" i="1"/>
  <c r="M24" i="1" s="1"/>
  <c r="K36" i="1"/>
  <c r="M36" i="1" s="1"/>
  <c r="K37" i="1"/>
  <c r="M37" i="1" s="1"/>
  <c r="K38" i="1"/>
  <c r="M38" i="1" s="1"/>
  <c r="K67" i="1"/>
  <c r="M67" i="1" s="1"/>
  <c r="K77" i="1"/>
  <c r="M77" i="1" s="1"/>
  <c r="K13" i="1"/>
  <c r="M13" i="1" s="1"/>
  <c r="K68" i="1"/>
  <c r="M68" i="1" s="1"/>
  <c r="K43" i="1"/>
  <c r="M43" i="1" s="1"/>
  <c r="K70" i="1"/>
  <c r="M70" i="1" s="1"/>
  <c r="K45" i="1"/>
  <c r="M45" i="1" s="1"/>
  <c r="K49" i="1"/>
  <c r="M49" i="1" s="1"/>
  <c r="K82" i="1"/>
  <c r="M82" i="1" s="1"/>
  <c r="K48" i="1"/>
  <c r="M48" i="1" s="1"/>
  <c r="K90" i="1"/>
  <c r="M90" i="1" s="1"/>
  <c r="K21" i="1"/>
  <c r="M21" i="1" s="1"/>
  <c r="K54" i="1"/>
  <c r="M54" i="1" s="1"/>
  <c r="K71" i="1"/>
  <c r="M71" i="1" s="1"/>
  <c r="K53" i="1"/>
  <c r="M53" i="1" s="1"/>
  <c r="K33" i="1"/>
  <c r="M33" i="1" s="1"/>
  <c r="K18" i="1"/>
  <c r="M18" i="1" s="1"/>
  <c r="K44" i="1"/>
  <c r="M44" i="1" s="1"/>
  <c r="K57" i="1"/>
  <c r="M57" i="1" s="1"/>
  <c r="K58" i="1"/>
  <c r="M58" i="1" s="1"/>
  <c r="K59" i="1"/>
  <c r="M59" i="1" s="1"/>
  <c r="K31" i="1"/>
  <c r="M31" i="1" s="1"/>
  <c r="K61" i="1"/>
  <c r="M61" i="1" s="1"/>
  <c r="K6" i="1"/>
  <c r="M6" i="1" s="1"/>
  <c r="K29" i="1"/>
  <c r="M29" i="1" s="1"/>
  <c r="K64" i="1"/>
  <c r="M64" i="1" s="1"/>
  <c r="K65" i="1"/>
  <c r="M65" i="1" s="1"/>
  <c r="K7" i="1"/>
  <c r="M7" i="1" s="1"/>
  <c r="K62" i="1"/>
  <c r="M62" i="1" s="1"/>
  <c r="K35" i="1"/>
  <c r="M35" i="1" s="1"/>
  <c r="K69" i="1"/>
  <c r="M69" i="1" s="1"/>
  <c r="K8" i="1"/>
  <c r="M8" i="1" s="1"/>
  <c r="K78" i="1"/>
  <c r="M78" i="1" s="1"/>
  <c r="K72" i="1"/>
  <c r="M72" i="1" s="1"/>
  <c r="K84" i="1"/>
  <c r="M84" i="1" s="1"/>
  <c r="K46" i="1"/>
  <c r="M46" i="1" s="1"/>
  <c r="K25" i="1"/>
  <c r="M25" i="1" s="1"/>
  <c r="K76" i="1"/>
  <c r="M76" i="1" s="1"/>
  <c r="K73" i="1"/>
  <c r="M73" i="1" s="1"/>
  <c r="K9" i="1"/>
  <c r="M9" i="1" s="1"/>
  <c r="K79" i="1"/>
  <c r="M79" i="1" s="1"/>
  <c r="K87" i="1"/>
  <c r="M87" i="1" s="1"/>
  <c r="K74" i="1"/>
  <c r="M74" i="1" s="1"/>
  <c r="K30" i="1"/>
  <c r="M30" i="1" s="1"/>
  <c r="K83" i="1"/>
  <c r="M83" i="1" s="1"/>
  <c r="K17" i="1"/>
  <c r="M17" i="1" s="1"/>
  <c r="K55" i="1"/>
  <c r="M55" i="1" s="1"/>
  <c r="K63" i="1"/>
  <c r="M63" i="1" s="1"/>
  <c r="K26" i="1"/>
  <c r="M26" i="1" s="1"/>
  <c r="K47" i="1"/>
  <c r="M47" i="1" s="1"/>
  <c r="K66" i="1"/>
  <c r="M66" i="1" s="1"/>
  <c r="K91" i="1"/>
  <c r="M91" i="1" s="1"/>
  <c r="K19" i="1"/>
  <c r="M19" i="1" s="1"/>
  <c r="K2" i="1"/>
  <c r="M2" i="1" s="1"/>
  <c r="J3" i="1"/>
  <c r="J4" i="1"/>
  <c r="J5" i="1"/>
  <c r="J88" i="1"/>
  <c r="J10" i="1"/>
  <c r="J80" i="1"/>
  <c r="J27" i="1"/>
  <c r="J81" i="1"/>
  <c r="J11" i="1"/>
  <c r="J12" i="1"/>
  <c r="J51" i="1"/>
  <c r="J14" i="1"/>
  <c r="J41" i="1"/>
  <c r="J20" i="1"/>
  <c r="J22" i="1"/>
  <c r="J56" i="1"/>
  <c r="J50" i="1"/>
  <c r="J23" i="1"/>
  <c r="J28" i="1"/>
  <c r="J15" i="1"/>
  <c r="J16" i="1"/>
  <c r="J52" i="1"/>
  <c r="J85" i="1"/>
  <c r="J89" i="1"/>
  <c r="J86" i="1"/>
  <c r="J42" i="1"/>
  <c r="J60" i="1"/>
  <c r="J39" i="1"/>
  <c r="J40" i="1"/>
  <c r="J32" i="1"/>
  <c r="J75" i="1"/>
  <c r="J34" i="1"/>
  <c r="J24" i="1"/>
  <c r="J36" i="1"/>
  <c r="J37" i="1"/>
  <c r="J38" i="1"/>
  <c r="J67" i="1"/>
  <c r="J77" i="1"/>
  <c r="J13" i="1"/>
  <c r="J68" i="1"/>
  <c r="J43" i="1"/>
  <c r="J70" i="1"/>
  <c r="J45" i="1"/>
  <c r="J49" i="1"/>
  <c r="J82" i="1"/>
  <c r="J48" i="1"/>
  <c r="J90" i="1"/>
  <c r="J21" i="1"/>
  <c r="J54" i="1"/>
  <c r="J71" i="1"/>
  <c r="J53" i="1"/>
  <c r="J33" i="1"/>
  <c r="J18" i="1"/>
  <c r="J44" i="1"/>
  <c r="J57" i="1"/>
  <c r="J58" i="1"/>
  <c r="J59" i="1"/>
  <c r="J31" i="1"/>
  <c r="J61" i="1"/>
  <c r="J6" i="1"/>
  <c r="J29" i="1"/>
  <c r="J64" i="1"/>
  <c r="J65" i="1"/>
  <c r="J7" i="1"/>
  <c r="J62" i="1"/>
  <c r="J35" i="1"/>
  <c r="J69" i="1"/>
  <c r="J8" i="1"/>
  <c r="J78" i="1"/>
  <c r="J72" i="1"/>
  <c r="J84" i="1"/>
  <c r="J46" i="1"/>
  <c r="J25" i="1"/>
  <c r="J76" i="1"/>
  <c r="J73" i="1"/>
  <c r="J9" i="1"/>
  <c r="J79" i="1"/>
  <c r="J87" i="1"/>
  <c r="J74" i="1"/>
  <c r="J30" i="1"/>
  <c r="J83" i="1"/>
  <c r="J17" i="1"/>
  <c r="J55" i="1"/>
  <c r="J63" i="1"/>
  <c r="J26" i="1"/>
  <c r="J47" i="1"/>
  <c r="J66" i="1"/>
  <c r="J91" i="1"/>
  <c r="J19" i="1"/>
  <c r="J2" i="1"/>
  <c r="F3" i="1"/>
  <c r="F4" i="1"/>
  <c r="F5" i="1"/>
  <c r="F88" i="1"/>
  <c r="F10" i="1"/>
  <c r="F80" i="1"/>
  <c r="F27" i="1"/>
  <c r="F81" i="1"/>
  <c r="F11" i="1"/>
  <c r="F12" i="1"/>
  <c r="F51" i="1"/>
  <c r="F14" i="1"/>
  <c r="F41" i="1"/>
  <c r="F20" i="1"/>
  <c r="F22" i="1"/>
  <c r="F56" i="1"/>
  <c r="F50" i="1"/>
  <c r="F23" i="1"/>
  <c r="F28" i="1"/>
  <c r="F15" i="1"/>
  <c r="F16" i="1"/>
  <c r="F52" i="1"/>
  <c r="F85" i="1"/>
  <c r="F89" i="1"/>
  <c r="F86" i="1"/>
  <c r="F42" i="1"/>
  <c r="F60" i="1"/>
  <c r="F39" i="1"/>
  <c r="F40" i="1"/>
  <c r="F32" i="1"/>
  <c r="F75" i="1"/>
  <c r="F34" i="1"/>
  <c r="F24" i="1"/>
  <c r="F36" i="1"/>
  <c r="F37" i="1"/>
  <c r="F38" i="1"/>
  <c r="F67" i="1"/>
  <c r="F77" i="1"/>
  <c r="F13" i="1"/>
  <c r="F68" i="1"/>
  <c r="F43" i="1"/>
  <c r="F70" i="1"/>
  <c r="F45" i="1"/>
  <c r="F49" i="1"/>
  <c r="F82" i="1"/>
  <c r="F48" i="1"/>
  <c r="F90" i="1"/>
  <c r="F21" i="1"/>
  <c r="F54" i="1"/>
  <c r="F71" i="1"/>
  <c r="F53" i="1"/>
  <c r="F33" i="1"/>
  <c r="F18" i="1"/>
  <c r="F44" i="1"/>
  <c r="F57" i="1"/>
  <c r="F58" i="1"/>
  <c r="F59" i="1"/>
  <c r="F31" i="1"/>
  <c r="F61" i="1"/>
  <c r="F6" i="1"/>
  <c r="F29" i="1"/>
  <c r="F64" i="1"/>
  <c r="F65" i="1"/>
  <c r="F7" i="1"/>
  <c r="F62" i="1"/>
  <c r="F35" i="1"/>
  <c r="F69" i="1"/>
  <c r="F8" i="1"/>
  <c r="F78" i="1"/>
  <c r="F72" i="1"/>
  <c r="F84" i="1"/>
  <c r="F46" i="1"/>
  <c r="F25" i="1"/>
  <c r="F76" i="1"/>
  <c r="F73" i="1"/>
  <c r="F9" i="1"/>
  <c r="F79" i="1"/>
  <c r="F87" i="1"/>
  <c r="F74" i="1"/>
  <c r="F30" i="1"/>
  <c r="F83" i="1"/>
  <c r="F17" i="1"/>
  <c r="F55" i="1"/>
  <c r="F63" i="1"/>
  <c r="F26" i="1"/>
  <c r="F47" i="1"/>
  <c r="F66" i="1"/>
  <c r="F91" i="1"/>
  <c r="F19" i="1"/>
  <c r="F2" i="1"/>
  <c r="E2" i="1"/>
  <c r="E3" i="1"/>
  <c r="E4" i="1"/>
  <c r="E5" i="1"/>
  <c r="E88" i="1"/>
  <c r="E10" i="1"/>
  <c r="E80" i="1"/>
  <c r="E27" i="1"/>
  <c r="E81" i="1"/>
  <c r="E11" i="1"/>
  <c r="E12" i="1"/>
  <c r="E51" i="1"/>
  <c r="E14" i="1"/>
  <c r="E41" i="1"/>
  <c r="E20" i="1"/>
  <c r="E22" i="1"/>
  <c r="E56" i="1"/>
  <c r="E50" i="1"/>
  <c r="E23" i="1"/>
  <c r="E28" i="1"/>
  <c r="E15" i="1"/>
  <c r="E16" i="1"/>
  <c r="E52" i="1"/>
  <c r="E85" i="1"/>
  <c r="E89" i="1"/>
  <c r="E86" i="1"/>
  <c r="E42" i="1"/>
  <c r="E60" i="1"/>
  <c r="E39" i="1"/>
  <c r="E40" i="1"/>
  <c r="E32" i="1"/>
  <c r="E75" i="1"/>
  <c r="E34" i="1"/>
  <c r="E24" i="1"/>
  <c r="E36" i="1"/>
  <c r="E37" i="1"/>
  <c r="E38" i="1"/>
  <c r="E67" i="1"/>
  <c r="E77" i="1"/>
  <c r="E13" i="1"/>
  <c r="E68" i="1"/>
  <c r="E43" i="1"/>
  <c r="E70" i="1"/>
  <c r="E45" i="1"/>
  <c r="E49" i="1"/>
  <c r="E82" i="1"/>
  <c r="E48" i="1"/>
  <c r="E90" i="1"/>
  <c r="E21" i="1"/>
  <c r="E54" i="1"/>
  <c r="E71" i="1"/>
  <c r="E53" i="1"/>
  <c r="E33" i="1"/>
  <c r="E18" i="1"/>
  <c r="E44" i="1"/>
  <c r="E57" i="1"/>
  <c r="E58" i="1"/>
  <c r="E59" i="1"/>
  <c r="E31" i="1"/>
  <c r="E61" i="1"/>
  <c r="E6" i="1"/>
  <c r="E29" i="1"/>
  <c r="E64" i="1"/>
  <c r="E65" i="1"/>
  <c r="E7" i="1"/>
  <c r="E62" i="1"/>
  <c r="E35" i="1"/>
  <c r="E69" i="1"/>
  <c r="E8" i="1"/>
  <c r="E78" i="1"/>
  <c r="E72" i="1"/>
  <c r="E84" i="1"/>
  <c r="E46" i="1"/>
  <c r="E25" i="1"/>
  <c r="E76" i="1"/>
  <c r="E73" i="1"/>
  <c r="E9" i="1"/>
  <c r="E79" i="1"/>
  <c r="E87" i="1"/>
  <c r="E74" i="1"/>
  <c r="E30" i="1"/>
  <c r="E83" i="1"/>
  <c r="E17" i="1"/>
  <c r="E55" i="1"/>
  <c r="E63" i="1"/>
  <c r="E26" i="1"/>
  <c r="E47" i="1"/>
  <c r="E66" i="1"/>
  <c r="E91" i="1"/>
  <c r="E19" i="1"/>
</calcChain>
</file>

<file path=xl/sharedStrings.xml><?xml version="1.0" encoding="utf-8"?>
<sst xmlns="http://schemas.openxmlformats.org/spreadsheetml/2006/main" count="1154" uniqueCount="111">
  <si>
    <t>order_id</t>
  </si>
  <si>
    <t>order_month</t>
  </si>
  <si>
    <t>first_name</t>
  </si>
  <si>
    <t>last_name</t>
  </si>
  <si>
    <t>clean_first_name</t>
  </si>
  <si>
    <t>clean_last_name</t>
  </si>
  <si>
    <t>region</t>
  </si>
  <si>
    <t>rep_name</t>
  </si>
  <si>
    <t>item</t>
  </si>
  <si>
    <t>category</t>
  </si>
  <si>
    <t>unit price</t>
  </si>
  <si>
    <t>quantity</t>
  </si>
  <si>
    <t>revenue_calc</t>
  </si>
  <si>
    <t>amount</t>
  </si>
  <si>
    <t>status</t>
  </si>
  <si>
    <t>2026-09</t>
  </si>
  <si>
    <t>MEERA</t>
  </si>
  <si>
    <t xml:space="preserve">  Patil</t>
  </si>
  <si>
    <t>South</t>
  </si>
  <si>
    <t>Kavya Nair</t>
  </si>
  <si>
    <t>Bluetooth Speaker</t>
  </si>
  <si>
    <t>NULL</t>
  </si>
  <si>
    <t>pending</t>
  </si>
  <si>
    <t>Nisha</t>
  </si>
  <si>
    <t>Mishra</t>
  </si>
  <si>
    <t>West</t>
  </si>
  <si>
    <t>Neha Kulkarni</t>
  </si>
  <si>
    <t>Smart Watch</t>
  </si>
  <si>
    <t>Lakshmi</t>
  </si>
  <si>
    <t>Kapoor</t>
  </si>
  <si>
    <t>Air Fryer</t>
  </si>
  <si>
    <t>disputed</t>
  </si>
  <si>
    <t>Gaurav</t>
  </si>
  <si>
    <t>Yadav</t>
  </si>
  <si>
    <t>East</t>
  </si>
  <si>
    <t>Sanjay Roy</t>
  </si>
  <si>
    <t>Cotton Kurta</t>
  </si>
  <si>
    <t>2026-11</t>
  </si>
  <si>
    <t>completed</t>
  </si>
  <si>
    <t>Tanvi</t>
  </si>
  <si>
    <t>Thakur</t>
  </si>
  <si>
    <t xml:space="preserve">Aditya </t>
  </si>
  <si>
    <t>Rao</t>
  </si>
  <si>
    <t>RAHUL</t>
  </si>
  <si>
    <t>VERMA</t>
  </si>
  <si>
    <t xml:space="preserve">  Vikram</t>
  </si>
  <si>
    <t xml:space="preserve">Singh </t>
  </si>
  <si>
    <t>North</t>
  </si>
  <si>
    <t>Arjun Mehta</t>
  </si>
  <si>
    <t>Wireless Earbuds</t>
  </si>
  <si>
    <t xml:space="preserve">  Isha</t>
  </si>
  <si>
    <t>Pillai</t>
  </si>
  <si>
    <t>2026-10</t>
  </si>
  <si>
    <t>aarav</t>
  </si>
  <si>
    <t>Sharma</t>
  </si>
  <si>
    <t>Harsh</t>
  </si>
  <si>
    <t>Chopra</t>
  </si>
  <si>
    <t>Manoj</t>
  </si>
  <si>
    <t>Desai</t>
  </si>
  <si>
    <t xml:space="preserve">karthik </t>
  </si>
  <si>
    <t>nair</t>
  </si>
  <si>
    <t>Pooja</t>
  </si>
  <si>
    <t>Menon</t>
  </si>
  <si>
    <t>Denim Jacket</t>
  </si>
  <si>
    <t>Running Shoes</t>
  </si>
  <si>
    <t>Divya</t>
  </si>
  <si>
    <t>Gupta</t>
  </si>
  <si>
    <t>Sneha</t>
  </si>
  <si>
    <t>Das</t>
  </si>
  <si>
    <t>Priya</t>
  </si>
  <si>
    <t>iyer</t>
  </si>
  <si>
    <t>Swati</t>
  </si>
  <si>
    <t>Banerjee</t>
  </si>
  <si>
    <t>Bedsheet Set</t>
  </si>
  <si>
    <t>Table Lamp</t>
  </si>
  <si>
    <t>suresh</t>
  </si>
  <si>
    <t>BOSE</t>
  </si>
  <si>
    <t>Rohit</t>
  </si>
  <si>
    <t>Khan</t>
  </si>
  <si>
    <t>Task-3</t>
  </si>
  <si>
    <t>unit_price</t>
  </si>
  <si>
    <t>Home</t>
  </si>
  <si>
    <t>Electronics</t>
  </si>
  <si>
    <t>Apparel</t>
  </si>
  <si>
    <t>Above one is imported csv file from Part-A</t>
  </si>
  <si>
    <t>Task-5</t>
  </si>
  <si>
    <t>Calculation</t>
  </si>
  <si>
    <t>Values</t>
  </si>
  <si>
    <t>Count</t>
  </si>
  <si>
    <t>Sum</t>
  </si>
  <si>
    <t>Aditya</t>
  </si>
  <si>
    <t>Average</t>
  </si>
  <si>
    <t>Rahul</t>
  </si>
  <si>
    <t>Verma</t>
  </si>
  <si>
    <t>Minimum</t>
  </si>
  <si>
    <t>Vikram</t>
  </si>
  <si>
    <t>Singh</t>
  </si>
  <si>
    <t>Maxmimum</t>
  </si>
  <si>
    <t>Aarav</t>
  </si>
  <si>
    <t>Karthik</t>
  </si>
  <si>
    <t>Nair</t>
  </si>
  <si>
    <t>Isha</t>
  </si>
  <si>
    <t>Iyer</t>
  </si>
  <si>
    <t>Suresh</t>
  </si>
  <si>
    <t>Bose</t>
  </si>
  <si>
    <t>Meera</t>
  </si>
  <si>
    <t>Patil</t>
  </si>
  <si>
    <t>Task-7</t>
  </si>
  <si>
    <t>Sum of amount</t>
  </si>
  <si>
    <t>Grand Total</t>
  </si>
  <si>
    <t>Sum of order_id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</si>
</sst>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000000"/>
      <name val="Consolas"/>
      <charset val="1"/>
    </font>
    <font>
      <sz val="11"/>
      <color rgb="FF000000"/>
      <name val="Calibri"/>
      <family val="2"/>
      <scheme val="minor"/>
    </font>
    <font>
      <sz val="11"/>
      <color rgb="FF000000"/>
      <name val="Consolas"/>
      <charset val="1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4" fillId="0" borderId="0" xfId="0" applyFont="1" applyFill="1" applyBorder="1" applyAlignment="1"/>
    <xf numFmtId="0" fontId="4" fillId="2" borderId="0" xfId="0" applyFont="1" applyFill="1" applyBorder="1" applyAlignment="1"/>
    <xf numFmtId="0" fontId="0" fillId="3" borderId="2" xfId="0" applyFill="1" applyBorder="1"/>
    <xf numFmtId="0" fontId="0" fillId="0" borderId="2" xfId="0" applyBorder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21.577959837959" createdVersion="8" refreshedVersion="8" minRefreshableVersion="3" recordCount="63" xr:uid="{AD4271D5-21B3-4A97-9485-9CD05267C7B2}">
  <cacheSource type="worksheet">
    <worksheetSource ref="A1:M64" sheet="completed_orders"/>
  </cacheSource>
  <cacheFields count="13">
    <cacheField name="order_id" numFmtId="0">
      <sharedItems containsSemiMixedTypes="0" containsString="0" containsNumber="1" containsInteger="1" minValue="1005" maxValue="1090" count="63">
        <n v="1061"/>
        <n v="1065"/>
        <n v="1069"/>
        <n v="1077"/>
        <n v="1006"/>
        <n v="1040"/>
        <n v="1021"/>
        <n v="1022"/>
        <n v="1083"/>
        <n v="1054"/>
        <n v="1090"/>
        <n v="1015"/>
        <n v="1049"/>
        <n v="1016"/>
        <n v="1019"/>
        <n v="1034"/>
        <n v="1074"/>
        <n v="1086"/>
        <n v="1008"/>
        <n v="1020"/>
        <n v="1062"/>
        <n v="1081"/>
        <n v="1059"/>
        <n v="1053"/>
        <n v="1067"/>
        <n v="1029"/>
        <n v="1030"/>
        <n v="1014"/>
        <n v="1027"/>
        <n v="1055"/>
        <n v="1073"/>
        <n v="1087"/>
        <n v="1045"/>
        <n v="1018"/>
        <n v="1012"/>
        <n v="1023"/>
        <n v="1050"/>
        <n v="1084"/>
        <n v="1017"/>
        <n v="1028"/>
        <n v="1066"/>
        <n v="1085"/>
        <n v="1088"/>
        <n v="1038"/>
        <n v="1041"/>
        <n v="1043"/>
        <n v="1051"/>
        <n v="1076"/>
        <n v="1080"/>
        <n v="1032"/>
        <n v="1039"/>
        <n v="1070"/>
        <n v="1007"/>
        <n v="1009"/>
        <n v="1046"/>
        <n v="1072"/>
        <n v="1024"/>
        <n v="1026"/>
        <n v="1079"/>
        <n v="1005"/>
        <n v="1025"/>
        <n v="1048"/>
        <n v="1089"/>
      </sharedItems>
    </cacheField>
    <cacheField name="order_month" numFmtId="0">
      <sharedItems count="3">
        <s v="2026-11"/>
        <s v="2026-09"/>
        <s v="2026-10"/>
      </sharedItems>
    </cacheField>
    <cacheField name="clean_first_name" numFmtId="0">
      <sharedItems/>
    </cacheField>
    <cacheField name="clean_last_name" numFmtId="0">
      <sharedItems/>
    </cacheField>
    <cacheField name="region" numFmtId="0">
      <sharedItems count="4">
        <s v="West"/>
        <s v="South"/>
        <s v="East"/>
        <s v="North"/>
      </sharedItems>
    </cacheField>
    <cacheField name="rep_name" numFmtId="0">
      <sharedItems/>
    </cacheField>
    <cacheField name="item" numFmtId="0">
      <sharedItems/>
    </cacheField>
    <cacheField name="category" numFmtId="0">
      <sharedItems count="3">
        <s v="Home"/>
        <s v="Electronics"/>
        <s v="Apparel"/>
      </sharedItems>
    </cacheField>
    <cacheField name="unit price" numFmtId="0">
      <sharedItems containsSemiMixedTypes="0" containsString="0" containsNumber="1" containsInteger="1" minValue="1100" maxValue="5200"/>
    </cacheField>
    <cacheField name="quantity" numFmtId="0">
      <sharedItems containsSemiMixedTypes="0" containsString="0" containsNumber="1" containsInteger="1" minValue="1" maxValue="3"/>
    </cacheField>
    <cacheField name="revenue_calc" numFmtId="0">
      <sharedItems containsSemiMixedTypes="0" containsString="0" containsNumber="1" containsInteger="1" minValue="1100" maxValue="15600"/>
    </cacheField>
    <cacheField name="amount" numFmtId="0">
      <sharedItems containsSemiMixedTypes="0" containsString="0" containsNumber="1" containsInteger="1" minValue="1100" maxValue="15600"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 pivotCacheId="1055304175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">
  <r>
    <x v="0"/>
    <x v="0"/>
    <s v="Nisha"/>
    <s v="Mishra"/>
    <x v="0"/>
    <s v="Neha Kulkarni"/>
    <s v="Air Fryer"/>
    <x v="0"/>
    <n v="5200"/>
    <n v="3"/>
    <n v="15600"/>
    <n v="15600"/>
    <s v="completed"/>
  </r>
  <r>
    <x v="1"/>
    <x v="0"/>
    <s v="Tanvi"/>
    <s v="Thakur"/>
    <x v="1"/>
    <s v="Kavya Nair"/>
    <s v="Air Fryer"/>
    <x v="0"/>
    <n v="5200"/>
    <n v="3"/>
    <n v="15600"/>
    <n v="15600"/>
    <s v="completed"/>
  </r>
  <r>
    <x v="2"/>
    <x v="0"/>
    <s v="Aditya"/>
    <s v="Rao"/>
    <x v="2"/>
    <s v="Sanjay Roy"/>
    <s v="Air Fryer"/>
    <x v="0"/>
    <n v="5200"/>
    <n v="3"/>
    <n v="15600"/>
    <n v="15600"/>
    <s v="completed"/>
  </r>
  <r>
    <x v="3"/>
    <x v="0"/>
    <s v="Rahul"/>
    <s v="Verma"/>
    <x v="2"/>
    <s v="Sanjay Roy"/>
    <s v="Air Fryer"/>
    <x v="0"/>
    <n v="5200"/>
    <n v="3"/>
    <n v="15600"/>
    <n v="15600"/>
    <s v="completed"/>
  </r>
  <r>
    <x v="4"/>
    <x v="1"/>
    <s v="Vikram"/>
    <s v="Singh"/>
    <x v="3"/>
    <s v="Arjun Mehta"/>
    <s v="Smart Watch"/>
    <x v="1"/>
    <n v="4500"/>
    <n v="3"/>
    <n v="13500"/>
    <n v="13500"/>
    <s v="completed"/>
  </r>
  <r>
    <x v="5"/>
    <x v="2"/>
    <s v="Aarav"/>
    <s v="Sharma"/>
    <x v="3"/>
    <s v="Arjun Mehta"/>
    <s v="Smart Watch"/>
    <x v="1"/>
    <n v="4500"/>
    <n v="3"/>
    <n v="13500"/>
    <n v="13500"/>
    <s v="completed"/>
  </r>
  <r>
    <x v="6"/>
    <x v="1"/>
    <s v="Manoj"/>
    <s v="Desai"/>
    <x v="3"/>
    <s v="Arjun Mehta"/>
    <s v="Air Fryer"/>
    <x v="0"/>
    <n v="5200"/>
    <n v="2"/>
    <n v="10400"/>
    <n v="10400"/>
    <s v="completed"/>
  </r>
  <r>
    <x v="7"/>
    <x v="1"/>
    <s v="Vikram"/>
    <s v="Singh"/>
    <x v="3"/>
    <s v="Arjun Mehta"/>
    <s v="Air Fryer"/>
    <x v="0"/>
    <n v="5200"/>
    <n v="2"/>
    <n v="10400"/>
    <n v="10400"/>
    <s v="completed"/>
  </r>
  <r>
    <x v="8"/>
    <x v="0"/>
    <s v="Lakshmi"/>
    <s v="Kapoor"/>
    <x v="1"/>
    <s v="Kavya Nair"/>
    <s v="Air Fryer"/>
    <x v="0"/>
    <n v="5200"/>
    <n v="2"/>
    <n v="10400"/>
    <n v="10400"/>
    <s v="completed"/>
  </r>
  <r>
    <x v="9"/>
    <x v="2"/>
    <s v="Manoj"/>
    <s v="Desai"/>
    <x v="3"/>
    <s v="Arjun Mehta"/>
    <s v="Wireless Earbuds"/>
    <x v="1"/>
    <n v="3200"/>
    <n v="3"/>
    <n v="9600"/>
    <n v="9600"/>
    <s v="completed"/>
  </r>
  <r>
    <x v="10"/>
    <x v="0"/>
    <s v="Karthik"/>
    <s v="Nair"/>
    <x v="2"/>
    <s v="Sanjay Roy"/>
    <s v="Wireless Earbuds"/>
    <x v="1"/>
    <n v="3200"/>
    <n v="3"/>
    <n v="9600"/>
    <n v="9600"/>
    <s v="completed"/>
  </r>
  <r>
    <x v="11"/>
    <x v="1"/>
    <s v="Lakshmi"/>
    <s v="Kapoor"/>
    <x v="1"/>
    <s v="Kavya Nair"/>
    <s v="Smart Watch"/>
    <x v="1"/>
    <n v="4500"/>
    <n v="2"/>
    <n v="9000"/>
    <n v="9000"/>
    <s v="completed"/>
  </r>
  <r>
    <x v="12"/>
    <x v="2"/>
    <s v="Aarav"/>
    <s v="Sharma"/>
    <x v="3"/>
    <s v="Arjun Mehta"/>
    <s v="Smart Watch"/>
    <x v="1"/>
    <n v="4500"/>
    <n v="2"/>
    <n v="9000"/>
    <n v="9000"/>
    <s v="completed"/>
  </r>
  <r>
    <x v="13"/>
    <x v="1"/>
    <s v="Pooja"/>
    <s v="Menon"/>
    <x v="0"/>
    <s v="Neha Kulkarni"/>
    <s v="Denim Jacket"/>
    <x v="2"/>
    <n v="2500"/>
    <n v="3"/>
    <n v="7500"/>
    <n v="7500"/>
    <s v="completed"/>
  </r>
  <r>
    <x v="14"/>
    <x v="1"/>
    <s v="Vikram"/>
    <s v="Singh"/>
    <x v="3"/>
    <s v="Arjun Mehta"/>
    <s v="Running Shoes"/>
    <x v="2"/>
    <n v="3600"/>
    <n v="2"/>
    <n v="7200"/>
    <n v="7200"/>
    <s v="completed"/>
  </r>
  <r>
    <x v="15"/>
    <x v="2"/>
    <s v="Divya"/>
    <s v="Gupta"/>
    <x v="0"/>
    <s v="Neha Kulkarni"/>
    <s v="Running Shoes"/>
    <x v="2"/>
    <n v="3600"/>
    <n v="2"/>
    <n v="7200"/>
    <n v="7200"/>
    <s v="completed"/>
  </r>
  <r>
    <x v="16"/>
    <x v="0"/>
    <s v="Nisha"/>
    <s v="Mishra"/>
    <x v="0"/>
    <s v="Neha Kulkarni"/>
    <s v="Running Shoes"/>
    <x v="2"/>
    <n v="3600"/>
    <n v="2"/>
    <n v="7200"/>
    <n v="7200"/>
    <s v="completed"/>
  </r>
  <r>
    <x v="17"/>
    <x v="0"/>
    <s v="Manoj"/>
    <s v="Desai"/>
    <x v="3"/>
    <s v="Arjun Mehta"/>
    <s v="Running Shoes"/>
    <x v="2"/>
    <n v="3600"/>
    <n v="2"/>
    <n v="7200"/>
    <n v="7200"/>
    <s v="completed"/>
  </r>
  <r>
    <x v="18"/>
    <x v="1"/>
    <s v="Sneha"/>
    <s v="Das"/>
    <x v="0"/>
    <s v="Neha Kulkarni"/>
    <s v="Wireless Earbuds"/>
    <x v="1"/>
    <n v="3200"/>
    <n v="2"/>
    <n v="6400"/>
    <n v="6400"/>
    <s v="completed"/>
  </r>
  <r>
    <x v="19"/>
    <x v="1"/>
    <s v="Tanvi"/>
    <s v="Thakur"/>
    <x v="1"/>
    <s v="Kavya Nair"/>
    <s v="Wireless Earbuds"/>
    <x v="1"/>
    <n v="3200"/>
    <n v="2"/>
    <n v="6400"/>
    <n v="6400"/>
    <s v="completed"/>
  </r>
  <r>
    <x v="20"/>
    <x v="0"/>
    <s v="Isha"/>
    <s v="Pillai"/>
    <x v="0"/>
    <s v="Neha Kulkarni"/>
    <s v="Wireless Earbuds"/>
    <x v="1"/>
    <n v="3200"/>
    <n v="2"/>
    <n v="6400"/>
    <n v="6400"/>
    <s v="completed"/>
  </r>
  <r>
    <x v="21"/>
    <x v="0"/>
    <s v="Vikram"/>
    <s v="Singh"/>
    <x v="3"/>
    <s v="Arjun Mehta"/>
    <s v="Wireless Earbuds"/>
    <x v="1"/>
    <n v="3200"/>
    <n v="2"/>
    <n v="6400"/>
    <n v="6400"/>
    <s v="completed"/>
  </r>
  <r>
    <x v="22"/>
    <x v="0"/>
    <s v="Priya"/>
    <s v="Iyer"/>
    <x v="1"/>
    <s v="Kavya Nair"/>
    <s v="Bluetooth Speaker"/>
    <x v="1"/>
    <n v="2800"/>
    <n v="2"/>
    <n v="5600"/>
    <n v="5600"/>
    <s v="completed"/>
  </r>
  <r>
    <x v="23"/>
    <x v="2"/>
    <s v="Tanvi"/>
    <s v="Thakur"/>
    <x v="1"/>
    <s v="Kavya Nair"/>
    <s v="Air Fryer"/>
    <x v="0"/>
    <n v="5200"/>
    <n v="1"/>
    <n v="5200"/>
    <n v="5200"/>
    <s v="completed"/>
  </r>
  <r>
    <x v="24"/>
    <x v="0"/>
    <s v="Priya"/>
    <s v="Iyer"/>
    <x v="1"/>
    <s v="Kavya Nair"/>
    <s v="Air Fryer"/>
    <x v="0"/>
    <n v="5200"/>
    <n v="1"/>
    <n v="5200"/>
    <n v="5200"/>
    <s v="completed"/>
  </r>
  <r>
    <x v="25"/>
    <x v="2"/>
    <s v="Aditya"/>
    <s v="Rao"/>
    <x v="2"/>
    <s v="Sanjay Roy"/>
    <s v="Denim Jacket"/>
    <x v="2"/>
    <n v="2500"/>
    <n v="2"/>
    <n v="5000"/>
    <n v="5000"/>
    <s v="completed"/>
  </r>
  <r>
    <x v="26"/>
    <x v="2"/>
    <s v="Lakshmi"/>
    <s v="Kapoor"/>
    <x v="1"/>
    <s v="Kavya Nair"/>
    <s v="Denim Jacket"/>
    <x v="2"/>
    <n v="2500"/>
    <n v="2"/>
    <n v="5000"/>
    <n v="5000"/>
    <s v="completed"/>
  </r>
  <r>
    <x v="27"/>
    <x v="1"/>
    <s v="Aditya"/>
    <s v="Rao"/>
    <x v="2"/>
    <s v="Sanjay Roy"/>
    <s v="Smart Watch"/>
    <x v="1"/>
    <n v="4500"/>
    <n v="1"/>
    <n v="4500"/>
    <n v="4500"/>
    <s v="completed"/>
  </r>
  <r>
    <x v="28"/>
    <x v="2"/>
    <s v="Aarav"/>
    <s v="Sharma"/>
    <x v="3"/>
    <s v="Arjun Mehta"/>
    <s v="Smart Watch"/>
    <x v="1"/>
    <n v="4500"/>
    <n v="1"/>
    <n v="4500"/>
    <n v="4500"/>
    <s v="completed"/>
  </r>
  <r>
    <x v="29"/>
    <x v="2"/>
    <s v="Swati"/>
    <s v="Banerjee"/>
    <x v="1"/>
    <s v="Kavya Nair"/>
    <s v="Smart Watch"/>
    <x v="1"/>
    <n v="4500"/>
    <n v="1"/>
    <n v="4500"/>
    <n v="4500"/>
    <s v="completed"/>
  </r>
  <r>
    <x v="30"/>
    <x v="0"/>
    <s v="Harsh"/>
    <s v="Chopra"/>
    <x v="2"/>
    <s v="Sanjay Roy"/>
    <s v="Smart Watch"/>
    <x v="1"/>
    <n v="4500"/>
    <n v="1"/>
    <n v="4500"/>
    <n v="4500"/>
    <s v="completed"/>
  </r>
  <r>
    <x v="31"/>
    <x v="0"/>
    <s v="Manoj"/>
    <s v="Desai"/>
    <x v="3"/>
    <s v="Arjun Mehta"/>
    <s v="Smart Watch"/>
    <x v="1"/>
    <n v="4500"/>
    <n v="1"/>
    <n v="4500"/>
    <n v="4500"/>
    <s v="completed"/>
  </r>
  <r>
    <x v="32"/>
    <x v="2"/>
    <s v="Nisha"/>
    <s v="Mishra"/>
    <x v="0"/>
    <s v="Neha Kulkarni"/>
    <s v="Cotton Kurta"/>
    <x v="2"/>
    <n v="1400"/>
    <n v="3"/>
    <n v="4200"/>
    <n v="4200"/>
    <s v="completed"/>
  </r>
  <r>
    <x v="33"/>
    <x v="1"/>
    <s v="Manoj"/>
    <s v="Desai"/>
    <x v="3"/>
    <s v="Arjun Mehta"/>
    <s v="Bedsheet Set"/>
    <x v="0"/>
    <n v="1900"/>
    <n v="2"/>
    <n v="3800"/>
    <n v="3800"/>
    <s v="completed"/>
  </r>
  <r>
    <x v="34"/>
    <x v="1"/>
    <s v="Sneha"/>
    <s v="Das"/>
    <x v="0"/>
    <s v="Neha Kulkarni"/>
    <s v="Running Shoes"/>
    <x v="2"/>
    <n v="3600"/>
    <n v="1"/>
    <n v="3600"/>
    <n v="3600"/>
    <s v="completed"/>
  </r>
  <r>
    <x v="35"/>
    <x v="1"/>
    <s v="Manoj"/>
    <s v="Desai"/>
    <x v="3"/>
    <s v="Arjun Mehta"/>
    <s v="Running Shoes"/>
    <x v="2"/>
    <n v="3600"/>
    <n v="1"/>
    <n v="3600"/>
    <n v="3600"/>
    <s v="completed"/>
  </r>
  <r>
    <x v="36"/>
    <x v="2"/>
    <s v="Pooja"/>
    <s v="Menon"/>
    <x v="0"/>
    <s v="Neha Kulkarni"/>
    <s v="Running Shoes"/>
    <x v="2"/>
    <n v="3600"/>
    <n v="1"/>
    <n v="3600"/>
    <n v="3600"/>
    <s v="completed"/>
  </r>
  <r>
    <x v="37"/>
    <x v="0"/>
    <s v="Lakshmi"/>
    <s v="Kapoor"/>
    <x v="1"/>
    <s v="Kavya Nair"/>
    <s v="Running Shoes"/>
    <x v="2"/>
    <n v="3600"/>
    <n v="1"/>
    <n v="3600"/>
    <n v="3600"/>
    <s v="completed"/>
  </r>
  <r>
    <x v="38"/>
    <x v="1"/>
    <s v="Vikram"/>
    <s v="Singh"/>
    <x v="3"/>
    <s v="Arjun Mehta"/>
    <s v="Wireless Earbuds"/>
    <x v="1"/>
    <n v="3200"/>
    <n v="1"/>
    <n v="3200"/>
    <n v="3200"/>
    <s v="completed"/>
  </r>
  <r>
    <x v="39"/>
    <x v="2"/>
    <s v="Swati"/>
    <s v="Banerjee"/>
    <x v="1"/>
    <s v="Kavya Nair"/>
    <s v="Wireless Earbuds"/>
    <x v="1"/>
    <n v="3200"/>
    <n v="1"/>
    <n v="3200"/>
    <n v="3200"/>
    <s v="completed"/>
  </r>
  <r>
    <x v="40"/>
    <x v="0"/>
    <s v="Suresh"/>
    <s v="Bose"/>
    <x v="3"/>
    <s v="Arjun Mehta"/>
    <s v="Wireless Earbuds"/>
    <x v="1"/>
    <n v="3200"/>
    <n v="1"/>
    <n v="3200"/>
    <n v="3200"/>
    <s v="completed"/>
  </r>
  <r>
    <x v="41"/>
    <x v="0"/>
    <s v="Aarav"/>
    <s v="Sharma"/>
    <x v="3"/>
    <s v="Arjun Mehta"/>
    <s v="Wireless Earbuds"/>
    <x v="1"/>
    <n v="3200"/>
    <n v="1"/>
    <n v="3200"/>
    <n v="3200"/>
    <s v="completed"/>
  </r>
  <r>
    <x v="42"/>
    <x v="0"/>
    <s v="Sneha"/>
    <s v="Das"/>
    <x v="0"/>
    <s v="Neha Kulkarni"/>
    <s v="Wireless Earbuds"/>
    <x v="1"/>
    <n v="3200"/>
    <n v="1"/>
    <n v="3200"/>
    <n v="3200"/>
    <s v="completed"/>
  </r>
  <r>
    <x v="43"/>
    <x v="2"/>
    <s v="Rahul"/>
    <s v="Verma"/>
    <x v="2"/>
    <s v="Sanjay Roy"/>
    <s v="Cotton Kurta"/>
    <x v="2"/>
    <n v="1400"/>
    <n v="2"/>
    <n v="2800"/>
    <n v="2800"/>
    <s v="completed"/>
  </r>
  <r>
    <x v="44"/>
    <x v="2"/>
    <s v="Divya"/>
    <s v="Gupta"/>
    <x v="0"/>
    <s v="Neha Kulkarni"/>
    <s v="Bluetooth Speaker"/>
    <x v="1"/>
    <n v="2800"/>
    <n v="1"/>
    <n v="2800"/>
    <n v="2800"/>
    <s v="completed"/>
  </r>
  <r>
    <x v="45"/>
    <x v="2"/>
    <s v="Rohit"/>
    <s v="Khan"/>
    <x v="3"/>
    <s v="Arjun Mehta"/>
    <s v="Bluetooth Speaker"/>
    <x v="1"/>
    <n v="2800"/>
    <n v="1"/>
    <n v="2800"/>
    <n v="2800"/>
    <s v="completed"/>
  </r>
  <r>
    <x v="46"/>
    <x v="2"/>
    <s v="Sneha"/>
    <s v="Das"/>
    <x v="0"/>
    <s v="Neha Kulkarni"/>
    <s v="Cotton Kurta"/>
    <x v="2"/>
    <n v="1400"/>
    <n v="2"/>
    <n v="2800"/>
    <n v="2800"/>
    <s v="completed"/>
  </r>
  <r>
    <x v="47"/>
    <x v="0"/>
    <s v="Gaurav"/>
    <s v="Yadav"/>
    <x v="2"/>
    <s v="Sanjay Roy"/>
    <s v="Cotton Kurta"/>
    <x v="2"/>
    <n v="1400"/>
    <n v="2"/>
    <n v="2800"/>
    <n v="2800"/>
    <s v="completed"/>
  </r>
  <r>
    <x v="48"/>
    <x v="0"/>
    <s v="Harsh"/>
    <s v="Chopra"/>
    <x v="2"/>
    <s v="Sanjay Roy"/>
    <s v="Bluetooth Speaker"/>
    <x v="1"/>
    <n v="2800"/>
    <n v="1"/>
    <n v="2800"/>
    <n v="2800"/>
    <s v="completed"/>
  </r>
  <r>
    <x v="49"/>
    <x v="2"/>
    <s v="Karthik"/>
    <s v="Nair"/>
    <x v="2"/>
    <s v="Sanjay Roy"/>
    <s v="Table Lamp"/>
    <x v="0"/>
    <n v="1100"/>
    <n v="2"/>
    <n v="2200"/>
    <n v="2200"/>
    <s v="completed"/>
  </r>
  <r>
    <x v="50"/>
    <x v="2"/>
    <s v="Rahul"/>
    <s v="Verma"/>
    <x v="2"/>
    <s v="Sanjay Roy"/>
    <s v="Table Lamp"/>
    <x v="0"/>
    <n v="1100"/>
    <n v="2"/>
    <n v="2200"/>
    <n v="2200"/>
    <s v="completed"/>
  </r>
  <r>
    <x v="51"/>
    <x v="0"/>
    <s v="Meera"/>
    <s v="Patil"/>
    <x v="1"/>
    <s v="Kavya Nair"/>
    <s v="Table Lamp"/>
    <x v="0"/>
    <n v="1100"/>
    <n v="2"/>
    <n v="2200"/>
    <n v="2200"/>
    <s v="completed"/>
  </r>
  <r>
    <x v="52"/>
    <x v="1"/>
    <s v="Tanvi"/>
    <s v="Thakur"/>
    <x v="1"/>
    <s v="Kavya Nair"/>
    <s v="Bedsheet Set"/>
    <x v="0"/>
    <n v="1900"/>
    <n v="1"/>
    <n v="1900"/>
    <n v="1900"/>
    <s v="completed"/>
  </r>
  <r>
    <x v="53"/>
    <x v="1"/>
    <s v="Rahul"/>
    <s v="Verma"/>
    <x v="2"/>
    <s v="Sanjay Roy"/>
    <s v="Bedsheet Set"/>
    <x v="0"/>
    <n v="1900"/>
    <n v="1"/>
    <n v="1900"/>
    <n v="1900"/>
    <s v="completed"/>
  </r>
  <r>
    <x v="54"/>
    <x v="2"/>
    <s v="Vikram"/>
    <s v="Singh"/>
    <x v="3"/>
    <s v="Arjun Mehta"/>
    <s v="Bedsheet Set"/>
    <x v="0"/>
    <n v="1900"/>
    <n v="1"/>
    <n v="1900"/>
    <n v="1900"/>
    <s v="completed"/>
  </r>
  <r>
    <x v="55"/>
    <x v="0"/>
    <s v="Isha"/>
    <s v="Pillai"/>
    <x v="0"/>
    <s v="Neha Kulkarni"/>
    <s v="Bedsheet Set"/>
    <x v="0"/>
    <n v="1900"/>
    <n v="1"/>
    <n v="1900"/>
    <n v="1900"/>
    <s v="completed"/>
  </r>
  <r>
    <x v="56"/>
    <x v="1"/>
    <s v="Priya"/>
    <s v="Iyer"/>
    <x v="1"/>
    <s v="Kavya Nair"/>
    <s v="Cotton Kurta"/>
    <x v="2"/>
    <n v="1400"/>
    <n v="1"/>
    <n v="1400"/>
    <n v="1400"/>
    <s v="completed"/>
  </r>
  <r>
    <x v="57"/>
    <x v="1"/>
    <s v="Vikram"/>
    <s v="Singh"/>
    <x v="3"/>
    <s v="Arjun Mehta"/>
    <s v="Cotton Kurta"/>
    <x v="2"/>
    <n v="1400"/>
    <n v="1"/>
    <n v="1400"/>
    <n v="1400"/>
    <s v="completed"/>
  </r>
  <r>
    <x v="58"/>
    <x v="0"/>
    <s v="Sneha"/>
    <s v="Das"/>
    <x v="0"/>
    <s v="Neha Kulkarni"/>
    <s v="Cotton Kurta"/>
    <x v="2"/>
    <n v="1400"/>
    <n v="1"/>
    <n v="1400"/>
    <n v="1400"/>
    <s v="completed"/>
  </r>
  <r>
    <x v="59"/>
    <x v="1"/>
    <s v="Tanvi"/>
    <s v="Thakur"/>
    <x v="1"/>
    <s v="Kavya Nair"/>
    <s v="Table Lamp"/>
    <x v="0"/>
    <n v="1100"/>
    <n v="1"/>
    <n v="1100"/>
    <n v="1100"/>
    <s v="completed"/>
  </r>
  <r>
    <x v="60"/>
    <x v="1"/>
    <s v="Divya"/>
    <s v="Gupta"/>
    <x v="0"/>
    <s v="Neha Kulkarni"/>
    <s v="Table Lamp"/>
    <x v="0"/>
    <n v="1100"/>
    <n v="1"/>
    <n v="1100"/>
    <n v="1100"/>
    <s v="completed"/>
  </r>
  <r>
    <x v="61"/>
    <x v="2"/>
    <s v="Priya"/>
    <s v="Iyer"/>
    <x v="1"/>
    <s v="Kavya Nair"/>
    <s v="Table Lamp"/>
    <x v="0"/>
    <n v="1100"/>
    <n v="1"/>
    <n v="1100"/>
    <n v="1100"/>
    <s v="completed"/>
  </r>
  <r>
    <x v="62"/>
    <x v="0"/>
    <s v="Meera"/>
    <s v="Patil"/>
    <x v="1"/>
    <s v="Kavya Nair"/>
    <s v="Table Lamp"/>
    <x v="0"/>
    <n v="1100"/>
    <n v="1"/>
    <n v="1100"/>
    <n v="1100"/>
    <s v="complet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9D0C6B-FCEB-4A90-801D-B6803DD4FF14}" name="PivotTable2" cacheId="60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F8" firstHeaderRow="1" firstDataRow="2" firstDataCol="1"/>
  <pivotFields count="13"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5">
        <item x="2"/>
        <item x="3"/>
        <item x="1"/>
        <item x="0"/>
        <item t="default"/>
      </items>
    </pivotField>
    <pivotField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amount" fld="11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A58264-A8A5-4A85-95AE-F16DE557B6AD}" name="PivotTable5" cacheId="60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7" firstHeaderRow="0" firstDataRow="1" firstDataCol="1"/>
  <pivotFields count="13">
    <pivotField dataField="1" compact="0" outline="0" showAll="0">
      <items count="64">
        <item x="59"/>
        <item x="4"/>
        <item x="52"/>
        <item x="18"/>
        <item x="53"/>
        <item x="34"/>
        <item x="27"/>
        <item x="11"/>
        <item x="13"/>
        <item x="38"/>
        <item x="33"/>
        <item x="14"/>
        <item x="19"/>
        <item x="6"/>
        <item x="7"/>
        <item x="35"/>
        <item x="56"/>
        <item x="60"/>
        <item x="57"/>
        <item x="28"/>
        <item x="39"/>
        <item x="25"/>
        <item x="26"/>
        <item x="49"/>
        <item x="15"/>
        <item x="43"/>
        <item x="50"/>
        <item x="5"/>
        <item x="44"/>
        <item x="45"/>
        <item x="32"/>
        <item x="54"/>
        <item x="61"/>
        <item x="12"/>
        <item x="36"/>
        <item x="46"/>
        <item x="23"/>
        <item x="9"/>
        <item x="29"/>
        <item x="22"/>
        <item x="0"/>
        <item x="20"/>
        <item x="1"/>
        <item x="40"/>
        <item x="24"/>
        <item x="2"/>
        <item x="51"/>
        <item x="55"/>
        <item x="30"/>
        <item x="16"/>
        <item x="47"/>
        <item x="3"/>
        <item x="58"/>
        <item x="48"/>
        <item x="21"/>
        <item x="8"/>
        <item x="37"/>
        <item x="41"/>
        <item x="17"/>
        <item x="31"/>
        <item x="42"/>
        <item x="62"/>
        <item x="10"/>
        <item t="default"/>
      </items>
    </pivotField>
    <pivotField axis="axisRow"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order_id" fld="0" baseField="0" baseItem="0"/>
    <dataField name="Sum of amount" fld="11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106"/>
  <sheetViews>
    <sheetView workbookViewId="0">
      <selection activeCell="F21" sqref="F21"/>
    </sheetView>
  </sheetViews>
  <sheetFormatPr defaultColWidth="9.140625" defaultRowHeight="15"/>
  <cols>
    <col min="1" max="1" width="15" customWidth="1"/>
    <col min="2" max="2" width="13.140625" customWidth="1"/>
    <col min="3" max="3" width="13.42578125" customWidth="1"/>
    <col min="4" max="4" width="11.140625" customWidth="1"/>
    <col min="5" max="5" width="17.42578125" customWidth="1"/>
    <col min="6" max="6" width="19.140625" customWidth="1"/>
    <col min="7" max="7" width="14.5703125" customWidth="1"/>
    <col min="8" max="8" width="13.7109375" customWidth="1"/>
    <col min="9" max="9" width="16.5703125" customWidth="1"/>
    <col min="10" max="10" width="15.85546875" customWidth="1"/>
    <col min="11" max="11" width="12.5703125" customWidth="1"/>
    <col min="12" max="12" width="12.85546875" customWidth="1"/>
    <col min="13" max="13" width="14.28515625" customWidth="1"/>
    <col min="14" max="14" width="16.85546875" customWidth="1"/>
    <col min="15" max="15" width="16.5703125" customWidth="1"/>
  </cols>
  <sheetData>
    <row r="1" spans="1: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</row>
    <row r="2" spans="1:15" hidden="1">
      <c r="A2" s="4">
        <v>1001</v>
      </c>
      <c r="B2" s="4" t="s">
        <v>15</v>
      </c>
      <c r="C2" s="4" t="s">
        <v>16</v>
      </c>
      <c r="D2" s="4" t="s">
        <v>17</v>
      </c>
      <c r="E2" s="4" t="str">
        <f>PROPER(TRIM(C2))</f>
        <v>Meera</v>
      </c>
      <c r="F2" s="4" t="str">
        <f>PROPER(TRIM(D2))</f>
        <v>Patil</v>
      </c>
      <c r="G2" s="4" t="s">
        <v>18</v>
      </c>
      <c r="H2" s="4" t="s">
        <v>19</v>
      </c>
      <c r="I2" s="4" t="s">
        <v>20</v>
      </c>
      <c r="J2" s="4" t="str">
        <f>VLOOKUP(I2,products!$A$2:$C$10,2,FALSE)</f>
        <v>Electronics</v>
      </c>
      <c r="K2" s="4">
        <f>_xlfn.XLOOKUP(I2,products!$A$2:$A$10,products!$C$2:$C$10,"UNKNOWN_ITEM")</f>
        <v>2800</v>
      </c>
      <c r="L2" s="4">
        <v>2</v>
      </c>
      <c r="M2" s="4">
        <f>K2*L2</f>
        <v>5600</v>
      </c>
      <c r="N2" s="4" t="s">
        <v>21</v>
      </c>
      <c r="O2" s="4" t="s">
        <v>22</v>
      </c>
    </row>
    <row r="3" spans="1:15" hidden="1">
      <c r="A3" s="4">
        <v>1002</v>
      </c>
      <c r="B3" s="4" t="s">
        <v>15</v>
      </c>
      <c r="C3" s="4" t="s">
        <v>23</v>
      </c>
      <c r="D3" s="4" t="s">
        <v>24</v>
      </c>
      <c r="E3" s="4" t="str">
        <f t="shared" ref="E3:E66" si="0">PROPER(TRIM(C3))</f>
        <v>Nisha</v>
      </c>
      <c r="F3" s="4" t="str">
        <f t="shared" ref="F3:F66" si="1">PROPER(TRIM(D3))</f>
        <v>Mishra</v>
      </c>
      <c r="G3" s="4" t="s">
        <v>25</v>
      </c>
      <c r="H3" s="4" t="s">
        <v>26</v>
      </c>
      <c r="I3" s="4" t="s">
        <v>27</v>
      </c>
      <c r="J3" s="4" t="str">
        <f>VLOOKUP(I3,products!$A$2:$C$10,2,FALSE)</f>
        <v>Electronics</v>
      </c>
      <c r="K3" s="4">
        <f>_xlfn.XLOOKUP(I3,products!$A$2:$A$10,products!$C$2:$C$10,"UNKNOWN_ITEM")</f>
        <v>4500</v>
      </c>
      <c r="L3" s="4">
        <v>1</v>
      </c>
      <c r="M3" s="4">
        <f t="shared" ref="M3:M66" si="2">K3*L3</f>
        <v>4500</v>
      </c>
      <c r="N3" s="4">
        <v>4500</v>
      </c>
      <c r="O3" s="4" t="s">
        <v>22</v>
      </c>
    </row>
    <row r="4" spans="1:15" hidden="1">
      <c r="A4" s="4">
        <v>1003</v>
      </c>
      <c r="B4" s="4" t="s">
        <v>15</v>
      </c>
      <c r="C4" s="4" t="s">
        <v>28</v>
      </c>
      <c r="D4" s="4" t="s">
        <v>29</v>
      </c>
      <c r="E4" s="4" t="str">
        <f t="shared" si="0"/>
        <v>Lakshmi</v>
      </c>
      <c r="F4" s="4" t="str">
        <f t="shared" si="1"/>
        <v>Kapoor</v>
      </c>
      <c r="G4" s="4" t="s">
        <v>18</v>
      </c>
      <c r="H4" s="4" t="s">
        <v>19</v>
      </c>
      <c r="I4" s="4" t="s">
        <v>30</v>
      </c>
      <c r="J4" s="4" t="str">
        <f>VLOOKUP(I4,products!$A$2:$C$10,2,FALSE)</f>
        <v>Home</v>
      </c>
      <c r="K4" s="4">
        <f>_xlfn.XLOOKUP(I4,products!$A$2:$A$10,products!$C$2:$C$10,"UNKNOWN_ITEM")</f>
        <v>5200</v>
      </c>
      <c r="L4" s="4">
        <v>2</v>
      </c>
      <c r="M4" s="4">
        <f t="shared" si="2"/>
        <v>10400</v>
      </c>
      <c r="N4" s="4">
        <v>10400</v>
      </c>
      <c r="O4" s="4" t="s">
        <v>31</v>
      </c>
    </row>
    <row r="5" spans="1:15" hidden="1">
      <c r="A5" s="4">
        <v>1004</v>
      </c>
      <c r="B5" s="4" t="s">
        <v>15</v>
      </c>
      <c r="C5" s="4" t="s">
        <v>32</v>
      </c>
      <c r="D5" s="4" t="s">
        <v>33</v>
      </c>
      <c r="E5" s="4" t="str">
        <f t="shared" si="0"/>
        <v>Gaurav</v>
      </c>
      <c r="F5" s="4" t="str">
        <f t="shared" si="1"/>
        <v>Yadav</v>
      </c>
      <c r="G5" s="4" t="s">
        <v>34</v>
      </c>
      <c r="H5" s="4" t="s">
        <v>35</v>
      </c>
      <c r="I5" s="4" t="s">
        <v>36</v>
      </c>
      <c r="J5" s="4" t="str">
        <f>VLOOKUP(I5,products!$A$2:$C$10,2,FALSE)</f>
        <v>Apparel</v>
      </c>
      <c r="K5" s="4">
        <f>_xlfn.XLOOKUP(I5,products!$A$2:$A$10,products!$C$2:$C$10,"UNKNOWN_ITEM")</f>
        <v>1400</v>
      </c>
      <c r="L5" s="4">
        <v>2</v>
      </c>
      <c r="M5" s="4">
        <f t="shared" si="2"/>
        <v>2800</v>
      </c>
      <c r="N5" s="4">
        <v>2800</v>
      </c>
      <c r="O5" s="4" t="s">
        <v>22</v>
      </c>
    </row>
    <row r="6" spans="1:15">
      <c r="A6" s="4">
        <v>1061</v>
      </c>
      <c r="B6" s="4" t="s">
        <v>37</v>
      </c>
      <c r="C6" s="4" t="s">
        <v>23</v>
      </c>
      <c r="D6" s="4" t="s">
        <v>24</v>
      </c>
      <c r="E6" s="4" t="str">
        <f>PROPER(TRIM(C6))</f>
        <v>Nisha</v>
      </c>
      <c r="F6" s="4" t="str">
        <f>PROPER(TRIM(D6))</f>
        <v>Mishra</v>
      </c>
      <c r="G6" s="4" t="s">
        <v>25</v>
      </c>
      <c r="H6" s="4" t="s">
        <v>26</v>
      </c>
      <c r="I6" s="4" t="s">
        <v>30</v>
      </c>
      <c r="J6" s="4" t="str">
        <f>VLOOKUP(I6,products!$A$2:$C$10,2,FALSE)</f>
        <v>Home</v>
      </c>
      <c r="K6" s="4">
        <f>_xlfn.XLOOKUP(I6,products!$A$2:$A$10,products!$C$2:$C$10,"UNKNOWN_ITEM")</f>
        <v>5200</v>
      </c>
      <c r="L6" s="4">
        <v>3</v>
      </c>
      <c r="M6" s="4">
        <f>K6*L6</f>
        <v>15600</v>
      </c>
      <c r="N6" s="4">
        <v>15600</v>
      </c>
      <c r="O6" s="4" t="s">
        <v>38</v>
      </c>
    </row>
    <row r="7" spans="1:15">
      <c r="A7" s="4">
        <v>1065</v>
      </c>
      <c r="B7" s="4" t="s">
        <v>37</v>
      </c>
      <c r="C7" s="4" t="s">
        <v>39</v>
      </c>
      <c r="D7" s="4" t="s">
        <v>40</v>
      </c>
      <c r="E7" s="4" t="str">
        <f>PROPER(TRIM(C7))</f>
        <v>Tanvi</v>
      </c>
      <c r="F7" s="4" t="str">
        <f>PROPER(TRIM(D7))</f>
        <v>Thakur</v>
      </c>
      <c r="G7" s="4" t="s">
        <v>18</v>
      </c>
      <c r="H7" s="4" t="s">
        <v>19</v>
      </c>
      <c r="I7" s="4" t="s">
        <v>30</v>
      </c>
      <c r="J7" s="4" t="str">
        <f>VLOOKUP(I7,products!$A$2:$C$10,2,FALSE)</f>
        <v>Home</v>
      </c>
      <c r="K7" s="4">
        <f>_xlfn.XLOOKUP(I7,products!$A$2:$A$10,products!$C$2:$C$10,"UNKNOWN_ITEM")</f>
        <v>5200</v>
      </c>
      <c r="L7" s="4">
        <v>3</v>
      </c>
      <c r="M7" s="4">
        <f>K7*L7</f>
        <v>15600</v>
      </c>
      <c r="N7" s="4">
        <v>15600</v>
      </c>
      <c r="O7" s="4" t="s">
        <v>38</v>
      </c>
    </row>
    <row r="8" spans="1:15">
      <c r="A8" s="4">
        <v>1069</v>
      </c>
      <c r="B8" s="4" t="s">
        <v>37</v>
      </c>
      <c r="C8" s="4" t="s">
        <v>41</v>
      </c>
      <c r="D8" s="4" t="s">
        <v>42</v>
      </c>
      <c r="E8" s="4" t="str">
        <f>PROPER(TRIM(C8))</f>
        <v>Aditya</v>
      </c>
      <c r="F8" s="4" t="str">
        <f>PROPER(TRIM(D8))</f>
        <v>Rao</v>
      </c>
      <c r="G8" s="4" t="s">
        <v>34</v>
      </c>
      <c r="H8" s="4" t="s">
        <v>35</v>
      </c>
      <c r="I8" s="4" t="s">
        <v>30</v>
      </c>
      <c r="J8" s="4" t="str">
        <f>VLOOKUP(I8,products!$A$2:$C$10,2,FALSE)</f>
        <v>Home</v>
      </c>
      <c r="K8" s="4">
        <f>_xlfn.XLOOKUP(I8,products!$A$2:$A$10,products!$C$2:$C$10,"UNKNOWN_ITEM")</f>
        <v>5200</v>
      </c>
      <c r="L8" s="4">
        <v>3</v>
      </c>
      <c r="M8" s="4">
        <f>K8*L8</f>
        <v>15600</v>
      </c>
      <c r="N8" s="4">
        <v>15600</v>
      </c>
      <c r="O8" s="4" t="s">
        <v>38</v>
      </c>
    </row>
    <row r="9" spans="1:15">
      <c r="A9" s="4">
        <v>1077</v>
      </c>
      <c r="B9" s="4" t="s">
        <v>37</v>
      </c>
      <c r="C9" s="4" t="s">
        <v>43</v>
      </c>
      <c r="D9" s="4" t="s">
        <v>44</v>
      </c>
      <c r="E9" s="4" t="str">
        <f>PROPER(TRIM(C9))</f>
        <v>Rahul</v>
      </c>
      <c r="F9" s="4" t="str">
        <f>PROPER(TRIM(D9))</f>
        <v>Verma</v>
      </c>
      <c r="G9" s="4" t="s">
        <v>34</v>
      </c>
      <c r="H9" s="4" t="s">
        <v>35</v>
      </c>
      <c r="I9" s="4" t="s">
        <v>30</v>
      </c>
      <c r="J9" s="4" t="str">
        <f>VLOOKUP(I9,products!$A$2:$C$10,2,FALSE)</f>
        <v>Home</v>
      </c>
      <c r="K9" s="4">
        <f>_xlfn.XLOOKUP(I9,products!$A$2:$A$10,products!$C$2:$C$10,"UNKNOWN_ITEM")</f>
        <v>5200</v>
      </c>
      <c r="L9" s="4">
        <v>3</v>
      </c>
      <c r="M9" s="4">
        <f>K9*L9</f>
        <v>15600</v>
      </c>
      <c r="N9" s="4">
        <v>15600</v>
      </c>
      <c r="O9" s="4" t="s">
        <v>38</v>
      </c>
    </row>
    <row r="10" spans="1:15">
      <c r="A10" s="4">
        <v>1006</v>
      </c>
      <c r="B10" s="4" t="s">
        <v>15</v>
      </c>
      <c r="C10" s="4" t="s">
        <v>45</v>
      </c>
      <c r="D10" s="4" t="s">
        <v>46</v>
      </c>
      <c r="E10" s="4" t="str">
        <f>PROPER(TRIM(C10))</f>
        <v>Vikram</v>
      </c>
      <c r="F10" s="4" t="str">
        <f>PROPER(TRIM(D10))</f>
        <v>Singh</v>
      </c>
      <c r="G10" s="4" t="s">
        <v>47</v>
      </c>
      <c r="H10" s="4" t="s">
        <v>48</v>
      </c>
      <c r="I10" s="4" t="s">
        <v>27</v>
      </c>
      <c r="J10" s="4" t="str">
        <f>VLOOKUP(I10,products!$A$2:$C$10,2,FALSE)</f>
        <v>Electronics</v>
      </c>
      <c r="K10" s="4">
        <f>_xlfn.XLOOKUP(I10,products!$A$2:$A$10,products!$C$2:$C$10,"UNKNOWN_ITEM")</f>
        <v>4500</v>
      </c>
      <c r="L10" s="4">
        <v>3</v>
      </c>
      <c r="M10" s="4">
        <f>K10*L10</f>
        <v>13500</v>
      </c>
      <c r="N10" s="4">
        <v>13500</v>
      </c>
      <c r="O10" s="4" t="s">
        <v>38</v>
      </c>
    </row>
    <row r="11" spans="1:15" hidden="1">
      <c r="A11" s="4">
        <v>1010</v>
      </c>
      <c r="B11" s="4" t="s">
        <v>15</v>
      </c>
      <c r="C11" s="4" t="s">
        <v>32</v>
      </c>
      <c r="D11" s="4" t="s">
        <v>33</v>
      </c>
      <c r="E11" s="4" t="str">
        <f>PROPER(TRIM(C11))</f>
        <v>Gaurav</v>
      </c>
      <c r="F11" s="4" t="str">
        <f>PROPER(TRIM(D11))</f>
        <v>Yadav</v>
      </c>
      <c r="G11" s="4" t="s">
        <v>34</v>
      </c>
      <c r="H11" s="4" t="s">
        <v>35</v>
      </c>
      <c r="I11" s="4" t="s">
        <v>49</v>
      </c>
      <c r="J11" s="4" t="str">
        <f>VLOOKUP(I11,products!$A$2:$C$10,2,FALSE)</f>
        <v>Electronics</v>
      </c>
      <c r="K11" s="4">
        <f>_xlfn.XLOOKUP(I11,products!$A$2:$A$10,products!$C$2:$C$10,"UNKNOWN_ITEM")</f>
        <v>3200</v>
      </c>
      <c r="L11" s="4">
        <v>1</v>
      </c>
      <c r="M11" s="4">
        <f>K11*L11</f>
        <v>3200</v>
      </c>
      <c r="N11" s="4" t="s">
        <v>21</v>
      </c>
      <c r="O11" s="4" t="s">
        <v>22</v>
      </c>
    </row>
    <row r="12" spans="1:15" hidden="1">
      <c r="A12" s="4">
        <v>1011</v>
      </c>
      <c r="B12" s="4" t="s">
        <v>15</v>
      </c>
      <c r="C12" s="4" t="s">
        <v>50</v>
      </c>
      <c r="D12" s="4" t="s">
        <v>51</v>
      </c>
      <c r="E12" s="4" t="str">
        <f>PROPER(TRIM(C12))</f>
        <v>Isha</v>
      </c>
      <c r="F12" s="4" t="str">
        <f>PROPER(TRIM(D12))</f>
        <v>Pillai</v>
      </c>
      <c r="G12" s="4" t="s">
        <v>25</v>
      </c>
      <c r="H12" s="4" t="s">
        <v>26</v>
      </c>
      <c r="I12" s="4" t="s">
        <v>30</v>
      </c>
      <c r="J12" s="4" t="str">
        <f>VLOOKUP(I12,products!$A$2:$C$10,2,FALSE)</f>
        <v>Home</v>
      </c>
      <c r="K12" s="4">
        <f>_xlfn.XLOOKUP(I12,products!$A$2:$A$10,products!$C$2:$C$10,"UNKNOWN_ITEM")</f>
        <v>5200</v>
      </c>
      <c r="L12" s="4">
        <v>3</v>
      </c>
      <c r="M12" s="4">
        <f>K12*L12</f>
        <v>15600</v>
      </c>
      <c r="N12" s="4">
        <v>15600</v>
      </c>
      <c r="O12" s="4" t="s">
        <v>31</v>
      </c>
    </row>
    <row r="13" spans="1:15">
      <c r="A13" s="4">
        <v>1040</v>
      </c>
      <c r="B13" s="4" t="s">
        <v>52</v>
      </c>
      <c r="C13" s="4" t="s">
        <v>53</v>
      </c>
      <c r="D13" s="4" t="s">
        <v>54</v>
      </c>
      <c r="E13" s="4" t="str">
        <f>PROPER(TRIM(C13))</f>
        <v>Aarav</v>
      </c>
      <c r="F13" s="4" t="str">
        <f>PROPER(TRIM(D13))</f>
        <v>Sharma</v>
      </c>
      <c r="G13" s="4" t="s">
        <v>47</v>
      </c>
      <c r="H13" s="4" t="s">
        <v>48</v>
      </c>
      <c r="I13" s="4" t="s">
        <v>27</v>
      </c>
      <c r="J13" s="4" t="str">
        <f>VLOOKUP(I13,products!$A$2:$C$10,2,FALSE)</f>
        <v>Electronics</v>
      </c>
      <c r="K13" s="4">
        <f>_xlfn.XLOOKUP(I13,products!$A$2:$A$10,products!$C$2:$C$10,"UNKNOWN_ITEM")</f>
        <v>4500</v>
      </c>
      <c r="L13" s="4">
        <v>3</v>
      </c>
      <c r="M13" s="4">
        <f>K13*L13</f>
        <v>13500</v>
      </c>
      <c r="N13" s="4">
        <v>13500</v>
      </c>
      <c r="O13" s="4" t="s">
        <v>38</v>
      </c>
    </row>
    <row r="14" spans="1:15" hidden="1">
      <c r="A14" s="4">
        <v>1013</v>
      </c>
      <c r="B14" s="4" t="s">
        <v>15</v>
      </c>
      <c r="C14" s="4" t="s">
        <v>55</v>
      </c>
      <c r="D14" s="4" t="s">
        <v>56</v>
      </c>
      <c r="E14" s="4" t="str">
        <f>PROPER(TRIM(C14))</f>
        <v>Harsh</v>
      </c>
      <c r="F14" s="4" t="str">
        <f>PROPER(TRIM(D14))</f>
        <v>Chopra</v>
      </c>
      <c r="G14" s="4" t="s">
        <v>34</v>
      </c>
      <c r="H14" s="4" t="s">
        <v>35</v>
      </c>
      <c r="I14" s="4" t="s">
        <v>27</v>
      </c>
      <c r="J14" s="4" t="str">
        <f>VLOOKUP(I14,products!$A$2:$C$10,2,FALSE)</f>
        <v>Electronics</v>
      </c>
      <c r="K14" s="4">
        <f>_xlfn.XLOOKUP(I14,products!$A$2:$A$10,products!$C$2:$C$10,"UNKNOWN_ITEM")</f>
        <v>4500</v>
      </c>
      <c r="L14" s="4">
        <v>2</v>
      </c>
      <c r="M14" s="4">
        <f>K14*L14</f>
        <v>9000</v>
      </c>
      <c r="N14" s="4">
        <v>9000</v>
      </c>
      <c r="O14" s="4" t="s">
        <v>31</v>
      </c>
    </row>
    <row r="15" spans="1:15">
      <c r="A15" s="4">
        <v>1021</v>
      </c>
      <c r="B15" s="4" t="s">
        <v>15</v>
      </c>
      <c r="C15" s="4" t="s">
        <v>57</v>
      </c>
      <c r="D15" s="4" t="s">
        <v>58</v>
      </c>
      <c r="E15" s="4" t="str">
        <f>PROPER(TRIM(C15))</f>
        <v>Manoj</v>
      </c>
      <c r="F15" s="4" t="str">
        <f>PROPER(TRIM(D15))</f>
        <v>Desai</v>
      </c>
      <c r="G15" s="4" t="s">
        <v>47</v>
      </c>
      <c r="H15" s="4" t="s">
        <v>48</v>
      </c>
      <c r="I15" s="4" t="s">
        <v>30</v>
      </c>
      <c r="J15" s="4" t="str">
        <f>VLOOKUP(I15,products!$A$2:$C$10,2,FALSE)</f>
        <v>Home</v>
      </c>
      <c r="K15" s="4">
        <f>_xlfn.XLOOKUP(I15,products!$A$2:$A$10,products!$C$2:$C$10,"UNKNOWN_ITEM")</f>
        <v>5200</v>
      </c>
      <c r="L15" s="4">
        <v>2</v>
      </c>
      <c r="M15" s="4">
        <f>K15*L15</f>
        <v>10400</v>
      </c>
      <c r="N15" s="4">
        <v>10400</v>
      </c>
      <c r="O15" s="4" t="s">
        <v>38</v>
      </c>
    </row>
    <row r="16" spans="1:15">
      <c r="A16" s="4">
        <v>1022</v>
      </c>
      <c r="B16" s="4" t="s">
        <v>15</v>
      </c>
      <c r="C16" s="4" t="s">
        <v>45</v>
      </c>
      <c r="D16" s="4" t="s">
        <v>46</v>
      </c>
      <c r="E16" s="4" t="str">
        <f>PROPER(TRIM(C16))</f>
        <v>Vikram</v>
      </c>
      <c r="F16" s="4" t="str">
        <f>PROPER(TRIM(D16))</f>
        <v>Singh</v>
      </c>
      <c r="G16" s="4" t="s">
        <v>47</v>
      </c>
      <c r="H16" s="4" t="s">
        <v>48</v>
      </c>
      <c r="I16" s="4" t="s">
        <v>30</v>
      </c>
      <c r="J16" s="4" t="str">
        <f>VLOOKUP(I16,products!$A$2:$C$10,2,FALSE)</f>
        <v>Home</v>
      </c>
      <c r="K16" s="4">
        <f>_xlfn.XLOOKUP(I16,products!$A$2:$A$10,products!$C$2:$C$10,"UNKNOWN_ITEM")</f>
        <v>5200</v>
      </c>
      <c r="L16" s="4">
        <v>2</v>
      </c>
      <c r="M16" s="4">
        <f>K16*L16</f>
        <v>10400</v>
      </c>
      <c r="N16" s="4">
        <v>10400</v>
      </c>
      <c r="O16" s="4" t="s">
        <v>38</v>
      </c>
    </row>
    <row r="17" spans="1:15">
      <c r="A17" s="4">
        <v>1083</v>
      </c>
      <c r="B17" s="4" t="s">
        <v>37</v>
      </c>
      <c r="C17" s="4" t="s">
        <v>28</v>
      </c>
      <c r="D17" s="4" t="s">
        <v>29</v>
      </c>
      <c r="E17" s="4" t="str">
        <f>PROPER(TRIM(C17))</f>
        <v>Lakshmi</v>
      </c>
      <c r="F17" s="4" t="str">
        <f>PROPER(TRIM(D17))</f>
        <v>Kapoor</v>
      </c>
      <c r="G17" s="4" t="s">
        <v>18</v>
      </c>
      <c r="H17" s="4" t="s">
        <v>19</v>
      </c>
      <c r="I17" s="4" t="s">
        <v>30</v>
      </c>
      <c r="J17" s="4" t="str">
        <f>VLOOKUP(I17,products!$A$2:$C$10,2,FALSE)</f>
        <v>Home</v>
      </c>
      <c r="K17" s="4">
        <f>_xlfn.XLOOKUP(I17,products!$A$2:$A$10,products!$C$2:$C$10,"UNKNOWN_ITEM")</f>
        <v>5200</v>
      </c>
      <c r="L17" s="4">
        <v>2</v>
      </c>
      <c r="M17" s="4">
        <f>K17*L17</f>
        <v>10400</v>
      </c>
      <c r="N17" s="4">
        <v>10400</v>
      </c>
      <c r="O17" s="4" t="s">
        <v>38</v>
      </c>
    </row>
    <row r="18" spans="1:15">
      <c r="A18" s="4">
        <v>1054</v>
      </c>
      <c r="B18" s="4" t="s">
        <v>52</v>
      </c>
      <c r="C18" s="4" t="s">
        <v>57</v>
      </c>
      <c r="D18" s="4" t="s">
        <v>58</v>
      </c>
      <c r="E18" s="4" t="str">
        <f>PROPER(TRIM(C18))</f>
        <v>Manoj</v>
      </c>
      <c r="F18" s="4" t="str">
        <f>PROPER(TRIM(D18))</f>
        <v>Desai</v>
      </c>
      <c r="G18" s="4" t="s">
        <v>47</v>
      </c>
      <c r="H18" s="4" t="s">
        <v>48</v>
      </c>
      <c r="I18" s="4" t="s">
        <v>49</v>
      </c>
      <c r="J18" s="4" t="str">
        <f>VLOOKUP(I18,products!$A$2:$C$10,2,FALSE)</f>
        <v>Electronics</v>
      </c>
      <c r="K18" s="4">
        <f>_xlfn.XLOOKUP(I18,products!$A$2:$A$10,products!$C$2:$C$10,"UNKNOWN_ITEM")</f>
        <v>3200</v>
      </c>
      <c r="L18" s="4">
        <v>3</v>
      </c>
      <c r="M18" s="4">
        <f>K18*L18</f>
        <v>9600</v>
      </c>
      <c r="N18" s="4">
        <v>9600</v>
      </c>
      <c r="O18" s="4" t="s">
        <v>38</v>
      </c>
    </row>
    <row r="19" spans="1:15">
      <c r="A19" s="4">
        <v>1090</v>
      </c>
      <c r="B19" s="4" t="s">
        <v>37</v>
      </c>
      <c r="C19" s="4" t="s">
        <v>59</v>
      </c>
      <c r="D19" s="4" t="s">
        <v>60</v>
      </c>
      <c r="E19" s="4" t="str">
        <f>PROPER(TRIM(C19))</f>
        <v>Karthik</v>
      </c>
      <c r="F19" s="4" t="str">
        <f>PROPER(TRIM(D19))</f>
        <v>Nair</v>
      </c>
      <c r="G19" s="4" t="s">
        <v>34</v>
      </c>
      <c r="H19" s="4" t="s">
        <v>35</v>
      </c>
      <c r="I19" s="4" t="s">
        <v>49</v>
      </c>
      <c r="J19" s="4" t="str">
        <f>VLOOKUP(I19,products!$A$2:$C$10,2,FALSE)</f>
        <v>Electronics</v>
      </c>
      <c r="K19" s="4">
        <f>_xlfn.XLOOKUP(I19,products!$A$2:$A$10,products!$C$2:$C$10,"UNKNOWN_ITEM")</f>
        <v>3200</v>
      </c>
      <c r="L19" s="4">
        <v>3</v>
      </c>
      <c r="M19" s="4">
        <f>K19*L19</f>
        <v>9600</v>
      </c>
      <c r="N19" s="4">
        <v>9600</v>
      </c>
      <c r="O19" s="4" t="s">
        <v>38</v>
      </c>
    </row>
    <row r="20" spans="1:15">
      <c r="A20" s="4">
        <v>1015</v>
      </c>
      <c r="B20" s="4" t="s">
        <v>15</v>
      </c>
      <c r="C20" s="4" t="s">
        <v>28</v>
      </c>
      <c r="D20" s="4" t="s">
        <v>29</v>
      </c>
      <c r="E20" s="4" t="str">
        <f>PROPER(TRIM(C20))</f>
        <v>Lakshmi</v>
      </c>
      <c r="F20" s="4" t="str">
        <f>PROPER(TRIM(D20))</f>
        <v>Kapoor</v>
      </c>
      <c r="G20" s="4" t="s">
        <v>18</v>
      </c>
      <c r="H20" s="4" t="s">
        <v>19</v>
      </c>
      <c r="I20" s="4" t="s">
        <v>27</v>
      </c>
      <c r="J20" s="4" t="str">
        <f>VLOOKUP(I20,products!$A$2:$C$10,2,FALSE)</f>
        <v>Electronics</v>
      </c>
      <c r="K20" s="4">
        <f>_xlfn.XLOOKUP(I20,products!$A$2:$A$10,products!$C$2:$C$10,"UNKNOWN_ITEM")</f>
        <v>4500</v>
      </c>
      <c r="L20" s="4">
        <v>2</v>
      </c>
      <c r="M20" s="4">
        <f>K20*L20</f>
        <v>9000</v>
      </c>
      <c r="N20" s="4">
        <v>9000</v>
      </c>
      <c r="O20" s="4" t="s">
        <v>38</v>
      </c>
    </row>
    <row r="21" spans="1:15">
      <c r="A21" s="4">
        <v>1049</v>
      </c>
      <c r="B21" s="4" t="s">
        <v>52</v>
      </c>
      <c r="C21" s="4" t="s">
        <v>53</v>
      </c>
      <c r="D21" s="4" t="s">
        <v>54</v>
      </c>
      <c r="E21" s="4" t="str">
        <f>PROPER(TRIM(C21))</f>
        <v>Aarav</v>
      </c>
      <c r="F21" s="4" t="str">
        <f>PROPER(TRIM(D21))</f>
        <v>Sharma</v>
      </c>
      <c r="G21" s="4" t="s">
        <v>47</v>
      </c>
      <c r="H21" s="4" t="s">
        <v>48</v>
      </c>
      <c r="I21" s="4" t="s">
        <v>27</v>
      </c>
      <c r="J21" s="4" t="str">
        <f>VLOOKUP(I21,products!$A$2:$C$10,2,FALSE)</f>
        <v>Electronics</v>
      </c>
      <c r="K21" s="4">
        <f>_xlfn.XLOOKUP(I21,products!$A$2:$A$10,products!$C$2:$C$10,"UNKNOWN_ITEM")</f>
        <v>4500</v>
      </c>
      <c r="L21" s="4">
        <v>2</v>
      </c>
      <c r="M21" s="4">
        <f>K21*L21</f>
        <v>9000</v>
      </c>
      <c r="N21" s="4">
        <v>9000</v>
      </c>
      <c r="O21" s="4" t="s">
        <v>38</v>
      </c>
    </row>
    <row r="22" spans="1:15">
      <c r="A22" s="4">
        <v>1016</v>
      </c>
      <c r="B22" s="4" t="s">
        <v>15</v>
      </c>
      <c r="C22" s="4" t="s">
        <v>61</v>
      </c>
      <c r="D22" s="4" t="s">
        <v>62</v>
      </c>
      <c r="E22" s="4" t="str">
        <f>PROPER(TRIM(C22))</f>
        <v>Pooja</v>
      </c>
      <c r="F22" s="4" t="str">
        <f>PROPER(TRIM(D22))</f>
        <v>Menon</v>
      </c>
      <c r="G22" s="4" t="s">
        <v>25</v>
      </c>
      <c r="H22" s="4" t="s">
        <v>26</v>
      </c>
      <c r="I22" s="4" t="s">
        <v>63</v>
      </c>
      <c r="J22" s="4" t="str">
        <f>VLOOKUP(I22,products!$A$2:$C$10,2,FALSE)</f>
        <v>Apparel</v>
      </c>
      <c r="K22" s="4">
        <f>_xlfn.XLOOKUP(I22,products!$A$2:$A$10,products!$C$2:$C$10,"UNKNOWN_ITEM")</f>
        <v>2500</v>
      </c>
      <c r="L22" s="4">
        <v>3</v>
      </c>
      <c r="M22" s="4">
        <f>K22*L22</f>
        <v>7500</v>
      </c>
      <c r="N22" s="4">
        <v>7500</v>
      </c>
      <c r="O22" s="4" t="s">
        <v>38</v>
      </c>
    </row>
    <row r="23" spans="1:15">
      <c r="A23" s="4">
        <v>1019</v>
      </c>
      <c r="B23" s="4" t="s">
        <v>15</v>
      </c>
      <c r="C23" s="4" t="s">
        <v>45</v>
      </c>
      <c r="D23" s="4" t="s">
        <v>46</v>
      </c>
      <c r="E23" s="4" t="str">
        <f>PROPER(TRIM(C23))</f>
        <v>Vikram</v>
      </c>
      <c r="F23" s="4" t="str">
        <f>PROPER(TRIM(D23))</f>
        <v>Singh</v>
      </c>
      <c r="G23" s="4" t="s">
        <v>47</v>
      </c>
      <c r="H23" s="4" t="s">
        <v>48</v>
      </c>
      <c r="I23" s="4" t="s">
        <v>64</v>
      </c>
      <c r="J23" s="4" t="str">
        <f>VLOOKUP(I23,products!$A$2:$C$10,2,FALSE)</f>
        <v>Apparel</v>
      </c>
      <c r="K23" s="4">
        <f>_xlfn.XLOOKUP(I23,products!$A$2:$A$10,products!$C$2:$C$10,"UNKNOWN_ITEM")</f>
        <v>3600</v>
      </c>
      <c r="L23" s="4">
        <v>2</v>
      </c>
      <c r="M23" s="4">
        <f>K23*L23</f>
        <v>7200</v>
      </c>
      <c r="N23" s="4">
        <v>7200</v>
      </c>
      <c r="O23" s="4" t="s">
        <v>38</v>
      </c>
    </row>
    <row r="24" spans="1:15">
      <c r="A24" s="4">
        <v>1034</v>
      </c>
      <c r="B24" s="4" t="s">
        <v>52</v>
      </c>
      <c r="C24" s="4" t="s">
        <v>65</v>
      </c>
      <c r="D24" s="4" t="s">
        <v>66</v>
      </c>
      <c r="E24" s="4" t="str">
        <f>PROPER(TRIM(C24))</f>
        <v>Divya</v>
      </c>
      <c r="F24" s="4" t="str">
        <f>PROPER(TRIM(D24))</f>
        <v>Gupta</v>
      </c>
      <c r="G24" s="4" t="s">
        <v>25</v>
      </c>
      <c r="H24" s="4" t="s">
        <v>26</v>
      </c>
      <c r="I24" s="4" t="s">
        <v>64</v>
      </c>
      <c r="J24" s="4" t="str">
        <f>VLOOKUP(I24,products!$A$2:$C$10,2,FALSE)</f>
        <v>Apparel</v>
      </c>
      <c r="K24" s="4">
        <f>_xlfn.XLOOKUP(I24,products!$A$2:$A$10,products!$C$2:$C$10,"UNKNOWN_ITEM")</f>
        <v>3600</v>
      </c>
      <c r="L24" s="4">
        <v>2</v>
      </c>
      <c r="M24" s="4">
        <f>K24*L24</f>
        <v>7200</v>
      </c>
      <c r="N24" s="4">
        <v>7200</v>
      </c>
      <c r="O24" s="4" t="s">
        <v>38</v>
      </c>
    </row>
    <row r="25" spans="1:15">
      <c r="A25" s="4">
        <v>1074</v>
      </c>
      <c r="B25" s="4" t="s">
        <v>37</v>
      </c>
      <c r="C25" s="4" t="s">
        <v>23</v>
      </c>
      <c r="D25" s="4" t="s">
        <v>24</v>
      </c>
      <c r="E25" s="4" t="str">
        <f>PROPER(TRIM(C25))</f>
        <v>Nisha</v>
      </c>
      <c r="F25" s="4" t="str">
        <f>PROPER(TRIM(D25))</f>
        <v>Mishra</v>
      </c>
      <c r="G25" s="4" t="s">
        <v>25</v>
      </c>
      <c r="H25" s="4" t="s">
        <v>26</v>
      </c>
      <c r="I25" s="4" t="s">
        <v>64</v>
      </c>
      <c r="J25" s="4" t="str">
        <f>VLOOKUP(I25,products!$A$2:$C$10,2,FALSE)</f>
        <v>Apparel</v>
      </c>
      <c r="K25" s="4">
        <f>_xlfn.XLOOKUP(I25,products!$A$2:$A$10,products!$C$2:$C$10,"UNKNOWN_ITEM")</f>
        <v>3600</v>
      </c>
      <c r="L25" s="4">
        <v>2</v>
      </c>
      <c r="M25" s="4">
        <f>K25*L25</f>
        <v>7200</v>
      </c>
      <c r="N25" s="4">
        <v>7200</v>
      </c>
      <c r="O25" s="4" t="s">
        <v>38</v>
      </c>
    </row>
    <row r="26" spans="1:15">
      <c r="A26" s="4">
        <v>1086</v>
      </c>
      <c r="B26" s="4" t="s">
        <v>37</v>
      </c>
      <c r="C26" s="4" t="s">
        <v>57</v>
      </c>
      <c r="D26" s="4" t="s">
        <v>58</v>
      </c>
      <c r="E26" s="4" t="str">
        <f>PROPER(TRIM(C26))</f>
        <v>Manoj</v>
      </c>
      <c r="F26" s="4" t="str">
        <f>PROPER(TRIM(D26))</f>
        <v>Desai</v>
      </c>
      <c r="G26" s="4" t="s">
        <v>47</v>
      </c>
      <c r="H26" s="4" t="s">
        <v>48</v>
      </c>
      <c r="I26" s="4" t="s">
        <v>64</v>
      </c>
      <c r="J26" s="4" t="str">
        <f>VLOOKUP(I26,products!$A$2:$C$10,2,FALSE)</f>
        <v>Apparel</v>
      </c>
      <c r="K26" s="4">
        <f>_xlfn.XLOOKUP(I26,products!$A$2:$A$10,products!$C$2:$C$10,"UNKNOWN_ITEM")</f>
        <v>3600</v>
      </c>
      <c r="L26" s="4">
        <v>2</v>
      </c>
      <c r="M26" s="4">
        <f>K26*L26</f>
        <v>7200</v>
      </c>
      <c r="N26" s="4">
        <v>7200</v>
      </c>
      <c r="O26" s="4" t="s">
        <v>38</v>
      </c>
    </row>
    <row r="27" spans="1:15">
      <c r="A27" s="4">
        <v>1008</v>
      </c>
      <c r="B27" s="4" t="s">
        <v>15</v>
      </c>
      <c r="C27" s="4" t="s">
        <v>67</v>
      </c>
      <c r="D27" s="4" t="s">
        <v>68</v>
      </c>
      <c r="E27" s="4" t="str">
        <f>PROPER(TRIM(C27))</f>
        <v>Sneha</v>
      </c>
      <c r="F27" s="4" t="str">
        <f>PROPER(TRIM(D27))</f>
        <v>Das</v>
      </c>
      <c r="G27" s="4" t="s">
        <v>25</v>
      </c>
      <c r="H27" s="4" t="s">
        <v>26</v>
      </c>
      <c r="I27" s="4" t="s">
        <v>49</v>
      </c>
      <c r="J27" s="4" t="str">
        <f>VLOOKUP(I27,products!$A$2:$C$10,2,FALSE)</f>
        <v>Electronics</v>
      </c>
      <c r="K27" s="4">
        <f>_xlfn.XLOOKUP(I27,products!$A$2:$A$10,products!$C$2:$C$10,"UNKNOWN_ITEM")</f>
        <v>3200</v>
      </c>
      <c r="L27" s="4">
        <v>2</v>
      </c>
      <c r="M27" s="4">
        <f>K27*L27</f>
        <v>6400</v>
      </c>
      <c r="N27" s="4">
        <v>6400</v>
      </c>
      <c r="O27" s="4" t="s">
        <v>38</v>
      </c>
    </row>
    <row r="28" spans="1:15">
      <c r="A28" s="4">
        <v>1020</v>
      </c>
      <c r="B28" s="4" t="s">
        <v>15</v>
      </c>
      <c r="C28" s="4" t="s">
        <v>39</v>
      </c>
      <c r="D28" s="4" t="s">
        <v>40</v>
      </c>
      <c r="E28" s="4" t="str">
        <f>PROPER(TRIM(C28))</f>
        <v>Tanvi</v>
      </c>
      <c r="F28" s="4" t="str">
        <f>PROPER(TRIM(D28))</f>
        <v>Thakur</v>
      </c>
      <c r="G28" s="4" t="s">
        <v>18</v>
      </c>
      <c r="H28" s="4" t="s">
        <v>19</v>
      </c>
      <c r="I28" s="4" t="s">
        <v>49</v>
      </c>
      <c r="J28" s="4" t="str">
        <f>VLOOKUP(I28,products!$A$2:$C$10,2,FALSE)</f>
        <v>Electronics</v>
      </c>
      <c r="K28" s="4">
        <f>_xlfn.XLOOKUP(I28,products!$A$2:$A$10,products!$C$2:$C$10,"UNKNOWN_ITEM")</f>
        <v>3200</v>
      </c>
      <c r="L28" s="4">
        <v>2</v>
      </c>
      <c r="M28" s="4">
        <f>K28*L28</f>
        <v>6400</v>
      </c>
      <c r="N28" s="4">
        <v>6400</v>
      </c>
      <c r="O28" s="4" t="s">
        <v>38</v>
      </c>
    </row>
    <row r="29" spans="1:15">
      <c r="A29" s="4">
        <v>1062</v>
      </c>
      <c r="B29" s="4" t="s">
        <v>37</v>
      </c>
      <c r="C29" s="4" t="s">
        <v>50</v>
      </c>
      <c r="D29" s="4" t="s">
        <v>51</v>
      </c>
      <c r="E29" s="4" t="str">
        <f>PROPER(TRIM(C29))</f>
        <v>Isha</v>
      </c>
      <c r="F29" s="4" t="str">
        <f>PROPER(TRIM(D29))</f>
        <v>Pillai</v>
      </c>
      <c r="G29" s="4" t="s">
        <v>25</v>
      </c>
      <c r="H29" s="4" t="s">
        <v>26</v>
      </c>
      <c r="I29" s="4" t="s">
        <v>49</v>
      </c>
      <c r="J29" s="4" t="str">
        <f>VLOOKUP(I29,products!$A$2:$C$10,2,FALSE)</f>
        <v>Electronics</v>
      </c>
      <c r="K29" s="4">
        <f>_xlfn.XLOOKUP(I29,products!$A$2:$A$10,products!$C$2:$C$10,"UNKNOWN_ITEM")</f>
        <v>3200</v>
      </c>
      <c r="L29" s="4">
        <v>2</v>
      </c>
      <c r="M29" s="4">
        <f>K29*L29</f>
        <v>6400</v>
      </c>
      <c r="N29" s="4">
        <v>6400</v>
      </c>
      <c r="O29" s="4" t="s">
        <v>38</v>
      </c>
    </row>
    <row r="30" spans="1:15">
      <c r="A30" s="4">
        <v>1081</v>
      </c>
      <c r="B30" s="4" t="s">
        <v>37</v>
      </c>
      <c r="C30" s="4" t="s">
        <v>45</v>
      </c>
      <c r="D30" s="4" t="s">
        <v>46</v>
      </c>
      <c r="E30" s="4" t="str">
        <f>PROPER(TRIM(C30))</f>
        <v>Vikram</v>
      </c>
      <c r="F30" s="4" t="str">
        <f>PROPER(TRIM(D30))</f>
        <v>Singh</v>
      </c>
      <c r="G30" s="4" t="s">
        <v>47</v>
      </c>
      <c r="H30" s="4" t="s">
        <v>48</v>
      </c>
      <c r="I30" s="4" t="s">
        <v>49</v>
      </c>
      <c r="J30" s="4" t="str">
        <f>VLOOKUP(I30,products!$A$2:$C$10,2,FALSE)</f>
        <v>Electronics</v>
      </c>
      <c r="K30" s="4">
        <f>_xlfn.XLOOKUP(I30,products!$A$2:$A$10,products!$C$2:$C$10,"UNKNOWN_ITEM")</f>
        <v>3200</v>
      </c>
      <c r="L30" s="4">
        <v>2</v>
      </c>
      <c r="M30" s="4">
        <f>K30*L30</f>
        <v>6400</v>
      </c>
      <c r="N30" s="4">
        <v>6400</v>
      </c>
      <c r="O30" s="4" t="s">
        <v>38</v>
      </c>
    </row>
    <row r="31" spans="1:15">
      <c r="A31" s="4">
        <v>1059</v>
      </c>
      <c r="B31" s="4" t="s">
        <v>37</v>
      </c>
      <c r="C31" s="4" t="s">
        <v>69</v>
      </c>
      <c r="D31" s="4" t="s">
        <v>70</v>
      </c>
      <c r="E31" s="4" t="str">
        <f>PROPER(TRIM(C31))</f>
        <v>Priya</v>
      </c>
      <c r="F31" s="4" t="str">
        <f>PROPER(TRIM(D31))</f>
        <v>Iyer</v>
      </c>
      <c r="G31" s="4" t="s">
        <v>18</v>
      </c>
      <c r="H31" s="4" t="s">
        <v>19</v>
      </c>
      <c r="I31" s="4" t="s">
        <v>20</v>
      </c>
      <c r="J31" s="4" t="str">
        <f>VLOOKUP(I31,products!$A$2:$C$10,2,FALSE)</f>
        <v>Electronics</v>
      </c>
      <c r="K31" s="4">
        <f>_xlfn.XLOOKUP(I31,products!$A$2:$A$10,products!$C$2:$C$10,"UNKNOWN_ITEM")</f>
        <v>2800</v>
      </c>
      <c r="L31" s="4">
        <v>2</v>
      </c>
      <c r="M31" s="4">
        <f>K31*L31</f>
        <v>5600</v>
      </c>
      <c r="N31" s="4">
        <v>5600</v>
      </c>
      <c r="O31" s="4" t="s">
        <v>38</v>
      </c>
    </row>
    <row r="32" spans="1:15" hidden="1">
      <c r="A32" s="4">
        <v>1031</v>
      </c>
      <c r="B32" s="4" t="s">
        <v>52</v>
      </c>
      <c r="C32" s="4" t="s">
        <v>50</v>
      </c>
      <c r="D32" s="4" t="s">
        <v>51</v>
      </c>
      <c r="E32" s="4" t="str">
        <f>PROPER(TRIM(C32))</f>
        <v>Isha</v>
      </c>
      <c r="F32" s="4" t="str">
        <f>PROPER(TRIM(D32))</f>
        <v>Pillai</v>
      </c>
      <c r="G32" s="4" t="s">
        <v>25</v>
      </c>
      <c r="H32" s="4" t="s">
        <v>26</v>
      </c>
      <c r="I32" s="4" t="s">
        <v>63</v>
      </c>
      <c r="J32" s="4" t="str">
        <f>VLOOKUP(I32,products!$A$2:$C$10,2,FALSE)</f>
        <v>Apparel</v>
      </c>
      <c r="K32" s="4">
        <f>_xlfn.XLOOKUP(I32,products!$A$2:$A$10,products!$C$2:$C$10,"UNKNOWN_ITEM")</f>
        <v>2500</v>
      </c>
      <c r="L32" s="4">
        <v>2</v>
      </c>
      <c r="M32" s="4">
        <f>K32*L32</f>
        <v>5000</v>
      </c>
      <c r="N32" s="4">
        <v>5000</v>
      </c>
      <c r="O32" s="4" t="s">
        <v>31</v>
      </c>
    </row>
    <row r="33" spans="1:15">
      <c r="A33" s="4">
        <v>1053</v>
      </c>
      <c r="B33" s="4" t="s">
        <v>52</v>
      </c>
      <c r="C33" s="4" t="s">
        <v>39</v>
      </c>
      <c r="D33" s="4" t="s">
        <v>40</v>
      </c>
      <c r="E33" s="4" t="str">
        <f>PROPER(TRIM(C33))</f>
        <v>Tanvi</v>
      </c>
      <c r="F33" s="4" t="str">
        <f>PROPER(TRIM(D33))</f>
        <v>Thakur</v>
      </c>
      <c r="G33" s="4" t="s">
        <v>18</v>
      </c>
      <c r="H33" s="4" t="s">
        <v>19</v>
      </c>
      <c r="I33" s="4" t="s">
        <v>30</v>
      </c>
      <c r="J33" s="4" t="str">
        <f>VLOOKUP(I33,products!$A$2:$C$10,2,FALSE)</f>
        <v>Home</v>
      </c>
      <c r="K33" s="4">
        <f>_xlfn.XLOOKUP(I33,products!$A$2:$A$10,products!$C$2:$C$10,"UNKNOWN_ITEM")</f>
        <v>5200</v>
      </c>
      <c r="L33" s="4">
        <v>1</v>
      </c>
      <c r="M33" s="4">
        <f>K33*L33</f>
        <v>5200</v>
      </c>
      <c r="N33" s="4">
        <v>5200</v>
      </c>
      <c r="O33" s="4" t="s">
        <v>38</v>
      </c>
    </row>
    <row r="34" spans="1:15" hidden="1">
      <c r="A34" s="4">
        <v>1033</v>
      </c>
      <c r="B34" s="4" t="s">
        <v>52</v>
      </c>
      <c r="C34" s="4" t="s">
        <v>71</v>
      </c>
      <c r="D34" s="4" t="s">
        <v>72</v>
      </c>
      <c r="E34" s="4" t="str">
        <f>PROPER(TRIM(C34))</f>
        <v>Swati</v>
      </c>
      <c r="F34" s="4" t="str">
        <f>PROPER(TRIM(D34))</f>
        <v>Banerjee</v>
      </c>
      <c r="G34" s="4" t="s">
        <v>18</v>
      </c>
      <c r="H34" s="4" t="s">
        <v>19</v>
      </c>
      <c r="I34" s="4" t="s">
        <v>63</v>
      </c>
      <c r="J34" s="4" t="str">
        <f>VLOOKUP(I34,products!$A$2:$C$10,2,FALSE)</f>
        <v>Apparel</v>
      </c>
      <c r="K34" s="4">
        <f>_xlfn.XLOOKUP(I34,products!$A$2:$A$10,products!$C$2:$C$10,"UNKNOWN_ITEM")</f>
        <v>2500</v>
      </c>
      <c r="L34" s="4">
        <v>1</v>
      </c>
      <c r="M34" s="4">
        <f>K34*L34</f>
        <v>2500</v>
      </c>
      <c r="N34" s="4">
        <v>2500</v>
      </c>
      <c r="O34" s="4" t="s">
        <v>22</v>
      </c>
    </row>
    <row r="35" spans="1:15">
      <c r="A35" s="4">
        <v>1067</v>
      </c>
      <c r="B35" s="4" t="s">
        <v>37</v>
      </c>
      <c r="C35" s="4" t="s">
        <v>69</v>
      </c>
      <c r="D35" s="4" t="s">
        <v>70</v>
      </c>
      <c r="E35" s="4" t="str">
        <f>PROPER(TRIM(C35))</f>
        <v>Priya</v>
      </c>
      <c r="F35" s="4" t="str">
        <f>PROPER(TRIM(D35))</f>
        <v>Iyer</v>
      </c>
      <c r="G35" s="4" t="s">
        <v>18</v>
      </c>
      <c r="H35" s="4" t="s">
        <v>19</v>
      </c>
      <c r="I35" s="4" t="s">
        <v>30</v>
      </c>
      <c r="J35" s="4" t="str">
        <f>VLOOKUP(I35,products!$A$2:$C$10,2,FALSE)</f>
        <v>Home</v>
      </c>
      <c r="K35" s="4">
        <f>_xlfn.XLOOKUP(I35,products!$A$2:$A$10,products!$C$2:$C$10,"UNKNOWN_ITEM")</f>
        <v>5200</v>
      </c>
      <c r="L35" s="4">
        <v>1</v>
      </c>
      <c r="M35" s="4">
        <f>K35*L35</f>
        <v>5200</v>
      </c>
      <c r="N35" s="4">
        <v>5200</v>
      </c>
      <c r="O35" s="4" t="s">
        <v>38</v>
      </c>
    </row>
    <row r="36" spans="1:15" hidden="1">
      <c r="A36" s="4">
        <v>1035</v>
      </c>
      <c r="B36" s="4" t="s">
        <v>52</v>
      </c>
      <c r="C36" s="4" t="s">
        <v>45</v>
      </c>
      <c r="D36" s="4" t="s">
        <v>46</v>
      </c>
      <c r="E36" s="4" t="str">
        <f>PROPER(TRIM(C36))</f>
        <v>Vikram</v>
      </c>
      <c r="F36" s="4" t="str">
        <f>PROPER(TRIM(D36))</f>
        <v>Singh</v>
      </c>
      <c r="G36" s="4" t="s">
        <v>47</v>
      </c>
      <c r="H36" s="4" t="s">
        <v>48</v>
      </c>
      <c r="I36" s="4" t="s">
        <v>20</v>
      </c>
      <c r="J36" s="4" t="str">
        <f>VLOOKUP(I36,products!$A$2:$C$10,2,FALSE)</f>
        <v>Electronics</v>
      </c>
      <c r="K36" s="4">
        <f>_xlfn.XLOOKUP(I36,products!$A$2:$A$10,products!$C$2:$C$10,"UNKNOWN_ITEM")</f>
        <v>2800</v>
      </c>
      <c r="L36" s="4">
        <v>1</v>
      </c>
      <c r="M36" s="4">
        <f>K36*L36</f>
        <v>2800</v>
      </c>
      <c r="N36" s="4">
        <v>2800</v>
      </c>
      <c r="O36" s="4" t="s">
        <v>22</v>
      </c>
    </row>
    <row r="37" spans="1:15" hidden="1">
      <c r="A37" s="4">
        <v>1036</v>
      </c>
      <c r="B37" s="4" t="s">
        <v>52</v>
      </c>
      <c r="C37" s="4" t="s">
        <v>39</v>
      </c>
      <c r="D37" s="4" t="s">
        <v>40</v>
      </c>
      <c r="E37" s="4" t="str">
        <f>PROPER(TRIM(C37))</f>
        <v>Tanvi</v>
      </c>
      <c r="F37" s="4" t="str">
        <f>PROPER(TRIM(D37))</f>
        <v>Thakur</v>
      </c>
      <c r="G37" s="4" t="s">
        <v>18</v>
      </c>
      <c r="H37" s="4" t="s">
        <v>19</v>
      </c>
      <c r="I37" s="4" t="s">
        <v>63</v>
      </c>
      <c r="J37" s="4" t="str">
        <f>VLOOKUP(I37,products!$A$2:$C$10,2,FALSE)</f>
        <v>Apparel</v>
      </c>
      <c r="K37" s="4">
        <f>_xlfn.XLOOKUP(I37,products!$A$2:$A$10,products!$C$2:$C$10,"UNKNOWN_ITEM")</f>
        <v>2500</v>
      </c>
      <c r="L37" s="4">
        <v>2</v>
      </c>
      <c r="M37" s="4">
        <f>K37*L37</f>
        <v>5000</v>
      </c>
      <c r="N37" s="4">
        <v>5000</v>
      </c>
      <c r="O37" s="4" t="s">
        <v>22</v>
      </c>
    </row>
    <row r="38" spans="1:15" hidden="1">
      <c r="A38" s="4">
        <v>1037</v>
      </c>
      <c r="B38" s="4" t="s">
        <v>52</v>
      </c>
      <c r="C38" s="4" t="s">
        <v>43</v>
      </c>
      <c r="D38" s="4" t="s">
        <v>44</v>
      </c>
      <c r="E38" s="4" t="str">
        <f>PROPER(TRIM(C38))</f>
        <v>Rahul</v>
      </c>
      <c r="F38" s="4" t="str">
        <f>PROPER(TRIM(D38))</f>
        <v>Verma</v>
      </c>
      <c r="G38" s="4" t="s">
        <v>34</v>
      </c>
      <c r="H38" s="4" t="s">
        <v>35</v>
      </c>
      <c r="I38" s="4" t="s">
        <v>73</v>
      </c>
      <c r="J38" s="4" t="str">
        <f>VLOOKUP(I38,products!$A$2:$C$10,2,FALSE)</f>
        <v>Home</v>
      </c>
      <c r="K38" s="4">
        <f>_xlfn.XLOOKUP(I38,products!$A$2:$A$10,products!$C$2:$C$10,"UNKNOWN_ITEM")</f>
        <v>1900</v>
      </c>
      <c r="L38" s="4">
        <v>2</v>
      </c>
      <c r="M38" s="4">
        <f>K38*L38</f>
        <v>3800</v>
      </c>
      <c r="N38" s="4">
        <v>3800</v>
      </c>
      <c r="O38" s="4" t="s">
        <v>22</v>
      </c>
    </row>
    <row r="39" spans="1:15">
      <c r="A39" s="4">
        <v>1029</v>
      </c>
      <c r="B39" s="4" t="s">
        <v>52</v>
      </c>
      <c r="C39" s="4" t="s">
        <v>41</v>
      </c>
      <c r="D39" s="4" t="s">
        <v>42</v>
      </c>
      <c r="E39" s="4" t="str">
        <f>PROPER(TRIM(C39))</f>
        <v>Aditya</v>
      </c>
      <c r="F39" s="4" t="str">
        <f>PROPER(TRIM(D39))</f>
        <v>Rao</v>
      </c>
      <c r="G39" s="4" t="s">
        <v>34</v>
      </c>
      <c r="H39" s="4" t="s">
        <v>35</v>
      </c>
      <c r="I39" s="4" t="s">
        <v>63</v>
      </c>
      <c r="J39" s="4" t="str">
        <f>VLOOKUP(I39,products!$A$2:$C$10,2,FALSE)</f>
        <v>Apparel</v>
      </c>
      <c r="K39" s="4">
        <f>_xlfn.XLOOKUP(I39,products!$A$2:$A$10,products!$C$2:$C$10,"UNKNOWN_ITEM")</f>
        <v>2500</v>
      </c>
      <c r="L39" s="4">
        <v>2</v>
      </c>
      <c r="M39" s="4">
        <f>K39*L39</f>
        <v>5000</v>
      </c>
      <c r="N39" s="4">
        <v>5000</v>
      </c>
      <c r="O39" s="4" t="s">
        <v>38</v>
      </c>
    </row>
    <row r="40" spans="1:15">
      <c r="A40" s="4">
        <v>1030</v>
      </c>
      <c r="B40" s="4" t="s">
        <v>52</v>
      </c>
      <c r="C40" s="4" t="s">
        <v>28</v>
      </c>
      <c r="D40" s="4" t="s">
        <v>29</v>
      </c>
      <c r="E40" s="4" t="str">
        <f>PROPER(TRIM(C40))</f>
        <v>Lakshmi</v>
      </c>
      <c r="F40" s="4" t="str">
        <f>PROPER(TRIM(D40))</f>
        <v>Kapoor</v>
      </c>
      <c r="G40" s="4" t="s">
        <v>18</v>
      </c>
      <c r="H40" s="4" t="s">
        <v>19</v>
      </c>
      <c r="I40" s="4" t="s">
        <v>63</v>
      </c>
      <c r="J40" s="4" t="str">
        <f>VLOOKUP(I40,products!$A$2:$C$10,2,FALSE)</f>
        <v>Apparel</v>
      </c>
      <c r="K40" s="4">
        <f>_xlfn.XLOOKUP(I40,products!$A$2:$A$10,products!$C$2:$C$10,"UNKNOWN_ITEM")</f>
        <v>2500</v>
      </c>
      <c r="L40" s="4">
        <v>2</v>
      </c>
      <c r="M40" s="4">
        <f>K40*L40</f>
        <v>5000</v>
      </c>
      <c r="N40" s="4">
        <v>5000</v>
      </c>
      <c r="O40" s="4" t="s">
        <v>38</v>
      </c>
    </row>
    <row r="41" spans="1:15">
      <c r="A41" s="4">
        <v>1014</v>
      </c>
      <c r="B41" s="4" t="s">
        <v>15</v>
      </c>
      <c r="C41" s="4" t="s">
        <v>41</v>
      </c>
      <c r="D41" s="4" t="s">
        <v>42</v>
      </c>
      <c r="E41" s="4" t="str">
        <f>PROPER(TRIM(C41))</f>
        <v>Aditya</v>
      </c>
      <c r="F41" s="4" t="str">
        <f>PROPER(TRIM(D41))</f>
        <v>Rao</v>
      </c>
      <c r="G41" s="4" t="s">
        <v>34</v>
      </c>
      <c r="H41" s="4" t="s">
        <v>35</v>
      </c>
      <c r="I41" s="4" t="s">
        <v>27</v>
      </c>
      <c r="J41" s="4" t="str">
        <f>VLOOKUP(I41,products!$A$2:$C$10,2,FALSE)</f>
        <v>Electronics</v>
      </c>
      <c r="K41" s="4">
        <f>_xlfn.XLOOKUP(I41,products!$A$2:$A$10,products!$C$2:$C$10,"UNKNOWN_ITEM")</f>
        <v>4500</v>
      </c>
      <c r="L41" s="4">
        <v>1</v>
      </c>
      <c r="M41" s="4">
        <f>K41*L41</f>
        <v>4500</v>
      </c>
      <c r="N41" s="4">
        <v>4500</v>
      </c>
      <c r="O41" s="4" t="s">
        <v>38</v>
      </c>
    </row>
    <row r="42" spans="1:15">
      <c r="A42" s="4">
        <v>1027</v>
      </c>
      <c r="B42" s="4" t="s">
        <v>52</v>
      </c>
      <c r="C42" s="4" t="s">
        <v>53</v>
      </c>
      <c r="D42" s="4" t="s">
        <v>54</v>
      </c>
      <c r="E42" s="4" t="str">
        <f>PROPER(TRIM(C42))</f>
        <v>Aarav</v>
      </c>
      <c r="F42" s="4" t="str">
        <f>PROPER(TRIM(D42))</f>
        <v>Sharma</v>
      </c>
      <c r="G42" s="4" t="s">
        <v>47</v>
      </c>
      <c r="H42" s="4" t="s">
        <v>48</v>
      </c>
      <c r="I42" s="4" t="s">
        <v>27</v>
      </c>
      <c r="J42" s="4" t="str">
        <f>VLOOKUP(I42,products!$A$2:$C$10,2,FALSE)</f>
        <v>Electronics</v>
      </c>
      <c r="K42" s="4">
        <f>_xlfn.XLOOKUP(I42,products!$A$2:$A$10,products!$C$2:$C$10,"UNKNOWN_ITEM")</f>
        <v>4500</v>
      </c>
      <c r="L42" s="4">
        <v>1</v>
      </c>
      <c r="M42" s="4">
        <f>K42*L42</f>
        <v>4500</v>
      </c>
      <c r="N42" s="4">
        <v>4500</v>
      </c>
      <c r="O42" s="4" t="s">
        <v>38</v>
      </c>
    </row>
    <row r="43" spans="1:15" hidden="1">
      <c r="A43" s="4">
        <v>1042</v>
      </c>
      <c r="B43" s="4" t="s">
        <v>52</v>
      </c>
      <c r="C43" s="4" t="s">
        <v>28</v>
      </c>
      <c r="D43" s="4" t="s">
        <v>29</v>
      </c>
      <c r="E43" s="4" t="str">
        <f>PROPER(TRIM(C43))</f>
        <v>Lakshmi</v>
      </c>
      <c r="F43" s="4" t="str">
        <f>PROPER(TRIM(D43))</f>
        <v>Kapoor</v>
      </c>
      <c r="G43" s="4" t="s">
        <v>18</v>
      </c>
      <c r="H43" s="4" t="s">
        <v>19</v>
      </c>
      <c r="I43" s="4" t="s">
        <v>74</v>
      </c>
      <c r="J43" s="4" t="str">
        <f>VLOOKUP(I43,products!$A$2:$C$10,2,FALSE)</f>
        <v>Home</v>
      </c>
      <c r="K43" s="4">
        <f>_xlfn.XLOOKUP(I43,products!$A$2:$A$10,products!$C$2:$C$10,"UNKNOWN_ITEM")</f>
        <v>1100</v>
      </c>
      <c r="L43" s="4">
        <v>1</v>
      </c>
      <c r="M43" s="4">
        <f>K43*L43</f>
        <v>1100</v>
      </c>
      <c r="N43" s="4">
        <v>1100</v>
      </c>
      <c r="O43" s="4" t="s">
        <v>22</v>
      </c>
    </row>
    <row r="44" spans="1:15">
      <c r="A44" s="4">
        <v>1055</v>
      </c>
      <c r="B44" s="4" t="s">
        <v>52</v>
      </c>
      <c r="C44" s="4" t="s">
        <v>71</v>
      </c>
      <c r="D44" s="4" t="s">
        <v>72</v>
      </c>
      <c r="E44" s="4" t="str">
        <f>PROPER(TRIM(C44))</f>
        <v>Swati</v>
      </c>
      <c r="F44" s="4" t="str">
        <f>PROPER(TRIM(D44))</f>
        <v>Banerjee</v>
      </c>
      <c r="G44" s="4" t="s">
        <v>18</v>
      </c>
      <c r="H44" s="4" t="s">
        <v>19</v>
      </c>
      <c r="I44" s="4" t="s">
        <v>27</v>
      </c>
      <c r="J44" s="4" t="str">
        <f>VLOOKUP(I44,products!$A$2:$C$10,2,FALSE)</f>
        <v>Electronics</v>
      </c>
      <c r="K44" s="4">
        <f>_xlfn.XLOOKUP(I44,products!$A$2:$A$10,products!$C$2:$C$10,"UNKNOWN_ITEM")</f>
        <v>4500</v>
      </c>
      <c r="L44" s="4">
        <v>1</v>
      </c>
      <c r="M44" s="4">
        <f>K44*L44</f>
        <v>4500</v>
      </c>
      <c r="N44" s="4">
        <v>4500</v>
      </c>
      <c r="O44" s="4" t="s">
        <v>38</v>
      </c>
    </row>
    <row r="45" spans="1:15" hidden="1">
      <c r="A45" s="4">
        <v>1044</v>
      </c>
      <c r="B45" s="4" t="s">
        <v>52</v>
      </c>
      <c r="C45" s="4" t="s">
        <v>16</v>
      </c>
      <c r="D45" s="4" t="s">
        <v>17</v>
      </c>
      <c r="E45" s="4" t="str">
        <f>PROPER(TRIM(C45))</f>
        <v>Meera</v>
      </c>
      <c r="F45" s="4" t="str">
        <f>PROPER(TRIM(D45))</f>
        <v>Patil</v>
      </c>
      <c r="G45" s="4" t="s">
        <v>18</v>
      </c>
      <c r="H45" s="4" t="s">
        <v>19</v>
      </c>
      <c r="I45" s="4" t="s">
        <v>64</v>
      </c>
      <c r="J45" s="4" t="str">
        <f>VLOOKUP(I45,products!$A$2:$C$10,2,FALSE)</f>
        <v>Apparel</v>
      </c>
      <c r="K45" s="4">
        <f>_xlfn.XLOOKUP(I45,products!$A$2:$A$10,products!$C$2:$C$10,"UNKNOWN_ITEM")</f>
        <v>3600</v>
      </c>
      <c r="L45" s="4">
        <v>1</v>
      </c>
      <c r="M45" s="4">
        <f>K45*L45</f>
        <v>3600</v>
      </c>
      <c r="N45" s="4">
        <v>3600</v>
      </c>
      <c r="O45" s="4" t="s">
        <v>22</v>
      </c>
    </row>
    <row r="46" spans="1:15">
      <c r="A46" s="4">
        <v>1073</v>
      </c>
      <c r="B46" s="4" t="s">
        <v>37</v>
      </c>
      <c r="C46" s="4" t="s">
        <v>55</v>
      </c>
      <c r="D46" s="4" t="s">
        <v>56</v>
      </c>
      <c r="E46" s="4" t="str">
        <f>PROPER(TRIM(C46))</f>
        <v>Harsh</v>
      </c>
      <c r="F46" s="4" t="str">
        <f>PROPER(TRIM(D46))</f>
        <v>Chopra</v>
      </c>
      <c r="G46" s="4" t="s">
        <v>34</v>
      </c>
      <c r="H46" s="4" t="s">
        <v>35</v>
      </c>
      <c r="I46" s="4" t="s">
        <v>27</v>
      </c>
      <c r="J46" s="4" t="str">
        <f>VLOOKUP(I46,products!$A$2:$C$10,2,FALSE)</f>
        <v>Electronics</v>
      </c>
      <c r="K46" s="4">
        <f>_xlfn.XLOOKUP(I46,products!$A$2:$A$10,products!$C$2:$C$10,"UNKNOWN_ITEM")</f>
        <v>4500</v>
      </c>
      <c r="L46" s="4">
        <v>1</v>
      </c>
      <c r="M46" s="4">
        <f>K46*L46</f>
        <v>4500</v>
      </c>
      <c r="N46" s="4">
        <v>4500</v>
      </c>
      <c r="O46" s="4" t="s">
        <v>38</v>
      </c>
    </row>
    <row r="47" spans="1:15">
      <c r="A47" s="4">
        <v>1087</v>
      </c>
      <c r="B47" s="4" t="s">
        <v>37</v>
      </c>
      <c r="C47" s="4" t="s">
        <v>57</v>
      </c>
      <c r="D47" s="4" t="s">
        <v>58</v>
      </c>
      <c r="E47" s="4" t="str">
        <f>PROPER(TRIM(C47))</f>
        <v>Manoj</v>
      </c>
      <c r="F47" s="4" t="str">
        <f>PROPER(TRIM(D47))</f>
        <v>Desai</v>
      </c>
      <c r="G47" s="4" t="s">
        <v>47</v>
      </c>
      <c r="H47" s="4" t="s">
        <v>48</v>
      </c>
      <c r="I47" s="4" t="s">
        <v>27</v>
      </c>
      <c r="J47" s="4" t="str">
        <f>VLOOKUP(I47,products!$A$2:$C$10,2,FALSE)</f>
        <v>Electronics</v>
      </c>
      <c r="K47" s="4">
        <f>_xlfn.XLOOKUP(I47,products!$A$2:$A$10,products!$C$2:$C$10,"UNKNOWN_ITEM")</f>
        <v>4500</v>
      </c>
      <c r="L47" s="4">
        <v>1</v>
      </c>
      <c r="M47" s="4">
        <f>K47*L47</f>
        <v>4500</v>
      </c>
      <c r="N47" s="4">
        <v>4500</v>
      </c>
      <c r="O47" s="4" t="s">
        <v>38</v>
      </c>
    </row>
    <row r="48" spans="1:15" hidden="1">
      <c r="A48" s="4">
        <v>1047</v>
      </c>
      <c r="B48" s="4" t="s">
        <v>52</v>
      </c>
      <c r="C48" s="4" t="s">
        <v>50</v>
      </c>
      <c r="D48" s="4" t="s">
        <v>51</v>
      </c>
      <c r="E48" s="4" t="str">
        <f>PROPER(TRIM(C48))</f>
        <v>Isha</v>
      </c>
      <c r="F48" s="4" t="str">
        <f>PROPER(TRIM(D48))</f>
        <v>Pillai</v>
      </c>
      <c r="G48" s="4" t="s">
        <v>25</v>
      </c>
      <c r="H48" s="4" t="s">
        <v>26</v>
      </c>
      <c r="I48" s="4" t="s">
        <v>49</v>
      </c>
      <c r="J48" s="4" t="str">
        <f>VLOOKUP(I48,products!$A$2:$C$10,2,FALSE)</f>
        <v>Electronics</v>
      </c>
      <c r="K48" s="4">
        <f>_xlfn.XLOOKUP(I48,products!$A$2:$A$10,products!$C$2:$C$10,"UNKNOWN_ITEM")</f>
        <v>3200</v>
      </c>
      <c r="L48" s="4">
        <v>3</v>
      </c>
      <c r="M48" s="4">
        <f>K48*L48</f>
        <v>9600</v>
      </c>
      <c r="N48" s="4">
        <v>9600</v>
      </c>
      <c r="O48" s="4" t="s">
        <v>31</v>
      </c>
    </row>
    <row r="49" spans="1:15">
      <c r="A49" s="4">
        <v>1045</v>
      </c>
      <c r="B49" s="4" t="s">
        <v>52</v>
      </c>
      <c r="C49" s="4" t="s">
        <v>23</v>
      </c>
      <c r="D49" s="4" t="s">
        <v>24</v>
      </c>
      <c r="E49" s="4" t="str">
        <f>PROPER(TRIM(C49))</f>
        <v>Nisha</v>
      </c>
      <c r="F49" s="4" t="str">
        <f>PROPER(TRIM(D49))</f>
        <v>Mishra</v>
      </c>
      <c r="G49" s="4" t="s">
        <v>25</v>
      </c>
      <c r="H49" s="4" t="s">
        <v>26</v>
      </c>
      <c r="I49" s="4" t="s">
        <v>36</v>
      </c>
      <c r="J49" s="4" t="str">
        <f>VLOOKUP(I49,products!$A$2:$C$10,2,FALSE)</f>
        <v>Apparel</v>
      </c>
      <c r="K49" s="4">
        <f>_xlfn.XLOOKUP(I49,products!$A$2:$A$10,products!$C$2:$C$10,"UNKNOWN_ITEM")</f>
        <v>1400</v>
      </c>
      <c r="L49" s="4">
        <v>3</v>
      </c>
      <c r="M49" s="4">
        <f>K49*L49</f>
        <v>4200</v>
      </c>
      <c r="N49" s="4">
        <v>4200</v>
      </c>
      <c r="O49" s="4" t="s">
        <v>38</v>
      </c>
    </row>
    <row r="50" spans="1:15">
      <c r="A50" s="4">
        <v>1018</v>
      </c>
      <c r="B50" s="4" t="s">
        <v>15</v>
      </c>
      <c r="C50" s="4" t="s">
        <v>57</v>
      </c>
      <c r="D50" s="4" t="s">
        <v>58</v>
      </c>
      <c r="E50" s="4" t="str">
        <f>PROPER(TRIM(C50))</f>
        <v>Manoj</v>
      </c>
      <c r="F50" s="4" t="str">
        <f>PROPER(TRIM(D50))</f>
        <v>Desai</v>
      </c>
      <c r="G50" s="4" t="s">
        <v>47</v>
      </c>
      <c r="H50" s="4" t="s">
        <v>48</v>
      </c>
      <c r="I50" s="4" t="s">
        <v>73</v>
      </c>
      <c r="J50" s="4" t="str">
        <f>VLOOKUP(I50,products!$A$2:$C$10,2,FALSE)</f>
        <v>Home</v>
      </c>
      <c r="K50" s="4">
        <f>_xlfn.XLOOKUP(I50,products!$A$2:$A$10,products!$C$2:$C$10,"UNKNOWN_ITEM")</f>
        <v>1900</v>
      </c>
      <c r="L50" s="4">
        <v>2</v>
      </c>
      <c r="M50" s="4">
        <f>K50*L50</f>
        <v>3800</v>
      </c>
      <c r="N50" s="4">
        <v>3800</v>
      </c>
      <c r="O50" s="4" t="s">
        <v>38</v>
      </c>
    </row>
    <row r="51" spans="1:15">
      <c r="A51" s="4">
        <v>1012</v>
      </c>
      <c r="B51" s="4" t="s">
        <v>15</v>
      </c>
      <c r="C51" s="4" t="s">
        <v>67</v>
      </c>
      <c r="D51" s="4" t="s">
        <v>68</v>
      </c>
      <c r="E51" s="4" t="str">
        <f>PROPER(TRIM(C51))</f>
        <v>Sneha</v>
      </c>
      <c r="F51" s="4" t="str">
        <f>PROPER(TRIM(D51))</f>
        <v>Das</v>
      </c>
      <c r="G51" s="4" t="s">
        <v>25</v>
      </c>
      <c r="H51" s="4" t="s">
        <v>26</v>
      </c>
      <c r="I51" s="4" t="s">
        <v>64</v>
      </c>
      <c r="J51" s="4" t="str">
        <f>VLOOKUP(I51,products!$A$2:$C$10,2,FALSE)</f>
        <v>Apparel</v>
      </c>
      <c r="K51" s="4">
        <f>_xlfn.XLOOKUP(I51,products!$A$2:$A$10,products!$C$2:$C$10,"UNKNOWN_ITEM")</f>
        <v>3600</v>
      </c>
      <c r="L51" s="4">
        <v>1</v>
      </c>
      <c r="M51" s="4">
        <f>K51*L51</f>
        <v>3600</v>
      </c>
      <c r="N51" s="4">
        <v>3600</v>
      </c>
      <c r="O51" s="4" t="s">
        <v>38</v>
      </c>
    </row>
    <row r="52" spans="1:15">
      <c r="A52" s="4">
        <v>1023</v>
      </c>
      <c r="B52" s="4" t="s">
        <v>15</v>
      </c>
      <c r="C52" s="4" t="s">
        <v>57</v>
      </c>
      <c r="D52" s="4" t="s">
        <v>58</v>
      </c>
      <c r="E52" s="4" t="str">
        <f>PROPER(TRIM(C52))</f>
        <v>Manoj</v>
      </c>
      <c r="F52" s="4" t="str">
        <f>PROPER(TRIM(D52))</f>
        <v>Desai</v>
      </c>
      <c r="G52" s="4" t="s">
        <v>47</v>
      </c>
      <c r="H52" s="4" t="s">
        <v>48</v>
      </c>
      <c r="I52" s="4" t="s">
        <v>64</v>
      </c>
      <c r="J52" s="4" t="str">
        <f>VLOOKUP(I52,products!$A$2:$C$10,2,FALSE)</f>
        <v>Apparel</v>
      </c>
      <c r="K52" s="4">
        <f>_xlfn.XLOOKUP(I52,products!$A$2:$A$10,products!$C$2:$C$10,"UNKNOWN_ITEM")</f>
        <v>3600</v>
      </c>
      <c r="L52" s="4">
        <v>1</v>
      </c>
      <c r="M52" s="4">
        <f>K52*L52</f>
        <v>3600</v>
      </c>
      <c r="N52" s="4">
        <v>3600</v>
      </c>
      <c r="O52" s="4" t="s">
        <v>38</v>
      </c>
    </row>
    <row r="53" spans="1:15" hidden="1">
      <c r="A53" s="4">
        <v>1052</v>
      </c>
      <c r="B53" s="4" t="s">
        <v>52</v>
      </c>
      <c r="C53" s="4" t="s">
        <v>41</v>
      </c>
      <c r="D53" s="4" t="s">
        <v>42</v>
      </c>
      <c r="E53" s="4" t="str">
        <f>PROPER(TRIM(C53))</f>
        <v>Aditya</v>
      </c>
      <c r="F53" s="4" t="str">
        <f>PROPER(TRIM(D53))</f>
        <v>Rao</v>
      </c>
      <c r="G53" s="4" t="s">
        <v>34</v>
      </c>
      <c r="H53" s="4" t="s">
        <v>35</v>
      </c>
      <c r="I53" s="4" t="s">
        <v>27</v>
      </c>
      <c r="J53" s="4" t="str">
        <f>VLOOKUP(I53,products!$A$2:$C$10,2,FALSE)</f>
        <v>Electronics</v>
      </c>
      <c r="K53" s="4">
        <f>_xlfn.XLOOKUP(I53,products!$A$2:$A$10,products!$C$2:$C$10,"UNKNOWN_ITEM")</f>
        <v>4500</v>
      </c>
      <c r="L53" s="4">
        <v>3</v>
      </c>
      <c r="M53" s="4">
        <f>K53*L53</f>
        <v>13500</v>
      </c>
      <c r="N53" s="4">
        <v>13500</v>
      </c>
      <c r="O53" s="4" t="s">
        <v>22</v>
      </c>
    </row>
    <row r="54" spans="1:15">
      <c r="A54" s="4">
        <v>1050</v>
      </c>
      <c r="B54" s="4" t="s">
        <v>52</v>
      </c>
      <c r="C54" s="4" t="s">
        <v>61</v>
      </c>
      <c r="D54" s="4" t="s">
        <v>62</v>
      </c>
      <c r="E54" s="4" t="str">
        <f>PROPER(TRIM(C54))</f>
        <v>Pooja</v>
      </c>
      <c r="F54" s="4" t="str">
        <f>PROPER(TRIM(D54))</f>
        <v>Menon</v>
      </c>
      <c r="G54" s="4" t="s">
        <v>25</v>
      </c>
      <c r="H54" s="4" t="s">
        <v>26</v>
      </c>
      <c r="I54" s="4" t="s">
        <v>64</v>
      </c>
      <c r="J54" s="4" t="str">
        <f>VLOOKUP(I54,products!$A$2:$C$10,2,FALSE)</f>
        <v>Apparel</v>
      </c>
      <c r="K54" s="4">
        <f>_xlfn.XLOOKUP(I54,products!$A$2:$A$10,products!$C$2:$C$10,"UNKNOWN_ITEM")</f>
        <v>3600</v>
      </c>
      <c r="L54" s="4">
        <v>1</v>
      </c>
      <c r="M54" s="4">
        <f>K54*L54</f>
        <v>3600</v>
      </c>
      <c r="N54" s="4">
        <v>3600</v>
      </c>
      <c r="O54" s="4" t="s">
        <v>38</v>
      </c>
    </row>
    <row r="55" spans="1:15">
      <c r="A55" s="4">
        <v>1084</v>
      </c>
      <c r="B55" s="4" t="s">
        <v>37</v>
      </c>
      <c r="C55" s="4" t="s">
        <v>28</v>
      </c>
      <c r="D55" s="4" t="s">
        <v>29</v>
      </c>
      <c r="E55" s="4" t="str">
        <f>PROPER(TRIM(C55))</f>
        <v>Lakshmi</v>
      </c>
      <c r="F55" s="4" t="str">
        <f>PROPER(TRIM(D55))</f>
        <v>Kapoor</v>
      </c>
      <c r="G55" s="4" t="s">
        <v>18</v>
      </c>
      <c r="H55" s="4" t="s">
        <v>19</v>
      </c>
      <c r="I55" s="4" t="s">
        <v>64</v>
      </c>
      <c r="J55" s="4" t="str">
        <f>VLOOKUP(I55,products!$A$2:$C$10,2,FALSE)</f>
        <v>Apparel</v>
      </c>
      <c r="K55" s="4">
        <f>_xlfn.XLOOKUP(I55,products!$A$2:$A$10,products!$C$2:$C$10,"UNKNOWN_ITEM")</f>
        <v>3600</v>
      </c>
      <c r="L55" s="4">
        <v>1</v>
      </c>
      <c r="M55" s="4">
        <f>K55*L55</f>
        <v>3600</v>
      </c>
      <c r="N55" s="4">
        <v>3600</v>
      </c>
      <c r="O55" s="4" t="s">
        <v>38</v>
      </c>
    </row>
    <row r="56" spans="1:15">
      <c r="A56" s="4">
        <v>1017</v>
      </c>
      <c r="B56" s="4" t="s">
        <v>15</v>
      </c>
      <c r="C56" s="4" t="s">
        <v>45</v>
      </c>
      <c r="D56" s="4" t="s">
        <v>46</v>
      </c>
      <c r="E56" s="4" t="str">
        <f>PROPER(TRIM(C56))</f>
        <v>Vikram</v>
      </c>
      <c r="F56" s="4" t="str">
        <f>PROPER(TRIM(D56))</f>
        <v>Singh</v>
      </c>
      <c r="G56" s="4" t="s">
        <v>47</v>
      </c>
      <c r="H56" s="4" t="s">
        <v>48</v>
      </c>
      <c r="I56" s="4" t="s">
        <v>49</v>
      </c>
      <c r="J56" s="4" t="str">
        <f>VLOOKUP(I56,products!$A$2:$C$10,2,FALSE)</f>
        <v>Electronics</v>
      </c>
      <c r="K56" s="4">
        <f>_xlfn.XLOOKUP(I56,products!$A$2:$A$10,products!$C$2:$C$10,"UNKNOWN_ITEM")</f>
        <v>3200</v>
      </c>
      <c r="L56" s="4">
        <v>1</v>
      </c>
      <c r="M56" s="4">
        <f>K56*L56</f>
        <v>3200</v>
      </c>
      <c r="N56" s="4">
        <v>3200</v>
      </c>
      <c r="O56" s="4" t="s">
        <v>38</v>
      </c>
    </row>
    <row r="57" spans="1:15" hidden="1">
      <c r="A57" s="4">
        <v>1056</v>
      </c>
      <c r="B57" s="4" t="s">
        <v>52</v>
      </c>
      <c r="C57" s="4" t="s">
        <v>61</v>
      </c>
      <c r="D57" s="4" t="s">
        <v>62</v>
      </c>
      <c r="E57" s="4" t="str">
        <f>PROPER(TRIM(C57))</f>
        <v>Pooja</v>
      </c>
      <c r="F57" s="4" t="str">
        <f>PROPER(TRIM(D57))</f>
        <v>Menon</v>
      </c>
      <c r="G57" s="4" t="s">
        <v>25</v>
      </c>
      <c r="H57" s="4" t="s">
        <v>26</v>
      </c>
      <c r="I57" s="4" t="s">
        <v>49</v>
      </c>
      <c r="J57" s="4" t="str">
        <f>VLOOKUP(I57,products!$A$2:$C$10,2,FALSE)</f>
        <v>Electronics</v>
      </c>
      <c r="K57" s="4">
        <f>_xlfn.XLOOKUP(I57,products!$A$2:$A$10,products!$C$2:$C$10,"UNKNOWN_ITEM")</f>
        <v>3200</v>
      </c>
      <c r="L57" s="4">
        <v>1</v>
      </c>
      <c r="M57" s="4">
        <f>K57*L57</f>
        <v>3200</v>
      </c>
      <c r="N57" s="4">
        <v>3200</v>
      </c>
      <c r="O57" s="4" t="s">
        <v>31</v>
      </c>
    </row>
    <row r="58" spans="1:15" hidden="1">
      <c r="A58" s="4">
        <v>1057</v>
      </c>
      <c r="B58" s="4" t="s">
        <v>37</v>
      </c>
      <c r="C58" s="4" t="s">
        <v>67</v>
      </c>
      <c r="D58" s="4" t="s">
        <v>68</v>
      </c>
      <c r="E58" s="4" t="str">
        <f>PROPER(TRIM(C58))</f>
        <v>Sneha</v>
      </c>
      <c r="F58" s="4" t="str">
        <f>PROPER(TRIM(D58))</f>
        <v>Das</v>
      </c>
      <c r="G58" s="4" t="s">
        <v>25</v>
      </c>
      <c r="H58" s="4" t="s">
        <v>26</v>
      </c>
      <c r="I58" s="4" t="s">
        <v>20</v>
      </c>
      <c r="J58" s="4" t="str">
        <f>VLOOKUP(I58,products!$A$2:$C$10,2,FALSE)</f>
        <v>Electronics</v>
      </c>
      <c r="K58" s="4">
        <f>_xlfn.XLOOKUP(I58,products!$A$2:$A$10,products!$C$2:$C$10,"UNKNOWN_ITEM")</f>
        <v>2800</v>
      </c>
      <c r="L58" s="4">
        <v>1</v>
      </c>
      <c r="M58" s="4">
        <f>K58*L58</f>
        <v>2800</v>
      </c>
      <c r="N58" s="4">
        <v>2800</v>
      </c>
      <c r="O58" s="4" t="s">
        <v>22</v>
      </c>
    </row>
    <row r="59" spans="1:15" hidden="1">
      <c r="A59" s="4">
        <v>1058</v>
      </c>
      <c r="B59" s="4" t="s">
        <v>37</v>
      </c>
      <c r="C59" s="4" t="s">
        <v>75</v>
      </c>
      <c r="D59" s="4" t="s">
        <v>76</v>
      </c>
      <c r="E59" s="4" t="str">
        <f>PROPER(TRIM(C59))</f>
        <v>Suresh</v>
      </c>
      <c r="F59" s="4" t="str">
        <f>PROPER(TRIM(D59))</f>
        <v>Bose</v>
      </c>
      <c r="G59" s="4" t="s">
        <v>47</v>
      </c>
      <c r="H59" s="4" t="s">
        <v>48</v>
      </c>
      <c r="I59" s="4" t="s">
        <v>73</v>
      </c>
      <c r="J59" s="4" t="str">
        <f>VLOOKUP(I59,products!$A$2:$C$10,2,FALSE)</f>
        <v>Home</v>
      </c>
      <c r="K59" s="4">
        <f>_xlfn.XLOOKUP(I59,products!$A$2:$A$10,products!$C$2:$C$10,"UNKNOWN_ITEM")</f>
        <v>1900</v>
      </c>
      <c r="L59" s="4">
        <v>1</v>
      </c>
      <c r="M59" s="4">
        <f>K59*L59</f>
        <v>1900</v>
      </c>
      <c r="N59" s="4">
        <v>1900</v>
      </c>
      <c r="O59" s="4" t="s">
        <v>22</v>
      </c>
    </row>
    <row r="60" spans="1:15">
      <c r="A60" s="4">
        <v>1028</v>
      </c>
      <c r="B60" s="4" t="s">
        <v>52</v>
      </c>
      <c r="C60" s="4" t="s">
        <v>71</v>
      </c>
      <c r="D60" s="4" t="s">
        <v>72</v>
      </c>
      <c r="E60" s="4" t="str">
        <f>PROPER(TRIM(C60))</f>
        <v>Swati</v>
      </c>
      <c r="F60" s="4" t="str">
        <f>PROPER(TRIM(D60))</f>
        <v>Banerjee</v>
      </c>
      <c r="G60" s="4" t="s">
        <v>18</v>
      </c>
      <c r="H60" s="4" t="s">
        <v>19</v>
      </c>
      <c r="I60" s="4" t="s">
        <v>49</v>
      </c>
      <c r="J60" s="4" t="str">
        <f>VLOOKUP(I60,products!$A$2:$C$10,2,FALSE)</f>
        <v>Electronics</v>
      </c>
      <c r="K60" s="4">
        <f>_xlfn.XLOOKUP(I60,products!$A$2:$A$10,products!$C$2:$C$10,"UNKNOWN_ITEM")</f>
        <v>3200</v>
      </c>
      <c r="L60" s="4">
        <v>1</v>
      </c>
      <c r="M60" s="4">
        <f>K60*L60</f>
        <v>3200</v>
      </c>
      <c r="N60" s="4">
        <v>3200</v>
      </c>
      <c r="O60" s="4" t="s">
        <v>38</v>
      </c>
    </row>
    <row r="61" spans="1:15" hidden="1">
      <c r="A61" s="4">
        <v>1060</v>
      </c>
      <c r="B61" s="4" t="s">
        <v>37</v>
      </c>
      <c r="C61" s="4" t="s">
        <v>75</v>
      </c>
      <c r="D61" s="4" t="s">
        <v>76</v>
      </c>
      <c r="E61" s="4" t="str">
        <f>PROPER(TRIM(C61))</f>
        <v>Suresh</v>
      </c>
      <c r="F61" s="4" t="str">
        <f>PROPER(TRIM(D61))</f>
        <v>Bose</v>
      </c>
      <c r="G61" s="4" t="s">
        <v>47</v>
      </c>
      <c r="H61" s="4" t="s">
        <v>48</v>
      </c>
      <c r="I61" s="4" t="s">
        <v>49</v>
      </c>
      <c r="J61" s="4" t="str">
        <f>VLOOKUP(I61,products!$A$2:$C$10,2,FALSE)</f>
        <v>Electronics</v>
      </c>
      <c r="K61" s="4">
        <f>_xlfn.XLOOKUP(I61,products!$A$2:$A$10,products!$C$2:$C$10,"UNKNOWN_ITEM")</f>
        <v>3200</v>
      </c>
      <c r="L61" s="4">
        <v>3</v>
      </c>
      <c r="M61" s="4">
        <f>K61*L61</f>
        <v>9600</v>
      </c>
      <c r="N61" s="4">
        <v>9600</v>
      </c>
      <c r="O61" s="4" t="s">
        <v>31</v>
      </c>
    </row>
    <row r="62" spans="1:15">
      <c r="A62" s="4">
        <v>1066</v>
      </c>
      <c r="B62" s="4" t="s">
        <v>37</v>
      </c>
      <c r="C62" s="4" t="s">
        <v>75</v>
      </c>
      <c r="D62" s="4" t="s">
        <v>76</v>
      </c>
      <c r="E62" s="4" t="str">
        <f>PROPER(TRIM(C62))</f>
        <v>Suresh</v>
      </c>
      <c r="F62" s="4" t="str">
        <f>PROPER(TRIM(D62))</f>
        <v>Bose</v>
      </c>
      <c r="G62" s="4" t="s">
        <v>47</v>
      </c>
      <c r="H62" s="4" t="s">
        <v>48</v>
      </c>
      <c r="I62" s="4" t="s">
        <v>49</v>
      </c>
      <c r="J62" s="4" t="str">
        <f>VLOOKUP(I62,products!$A$2:$C$10,2,FALSE)</f>
        <v>Electronics</v>
      </c>
      <c r="K62" s="4">
        <f>_xlfn.XLOOKUP(I62,products!$A$2:$A$10,products!$C$2:$C$10,"UNKNOWN_ITEM")</f>
        <v>3200</v>
      </c>
      <c r="L62" s="4">
        <v>1</v>
      </c>
      <c r="M62" s="4">
        <f>K62*L62</f>
        <v>3200</v>
      </c>
      <c r="N62" s="4">
        <v>3200</v>
      </c>
      <c r="O62" s="4" t="s">
        <v>38</v>
      </c>
    </row>
    <row r="63" spans="1:15">
      <c r="A63" s="4">
        <v>1085</v>
      </c>
      <c r="B63" s="4" t="s">
        <v>37</v>
      </c>
      <c r="C63" s="4" t="s">
        <v>53</v>
      </c>
      <c r="D63" s="4" t="s">
        <v>54</v>
      </c>
      <c r="E63" s="4" t="str">
        <f>PROPER(TRIM(C63))</f>
        <v>Aarav</v>
      </c>
      <c r="F63" s="4" t="str">
        <f>PROPER(TRIM(D63))</f>
        <v>Sharma</v>
      </c>
      <c r="G63" s="4" t="s">
        <v>47</v>
      </c>
      <c r="H63" s="4" t="s">
        <v>48</v>
      </c>
      <c r="I63" s="4" t="s">
        <v>49</v>
      </c>
      <c r="J63" s="4" t="str">
        <f>VLOOKUP(I63,products!$A$2:$C$10,2,FALSE)</f>
        <v>Electronics</v>
      </c>
      <c r="K63" s="4">
        <f>_xlfn.XLOOKUP(I63,products!$A$2:$A$10,products!$C$2:$C$10,"UNKNOWN_ITEM")</f>
        <v>3200</v>
      </c>
      <c r="L63" s="4">
        <v>1</v>
      </c>
      <c r="M63" s="4">
        <f>K63*L63</f>
        <v>3200</v>
      </c>
      <c r="N63" s="4">
        <v>3200</v>
      </c>
      <c r="O63" s="4" t="s">
        <v>38</v>
      </c>
    </row>
    <row r="64" spans="1:15" hidden="1">
      <c r="A64" s="4">
        <v>1063</v>
      </c>
      <c r="B64" s="4" t="s">
        <v>37</v>
      </c>
      <c r="C64" s="4" t="s">
        <v>16</v>
      </c>
      <c r="D64" s="4" t="s">
        <v>17</v>
      </c>
      <c r="E64" s="4" t="str">
        <f>PROPER(TRIM(C64))</f>
        <v>Meera</v>
      </c>
      <c r="F64" s="4" t="str">
        <f>PROPER(TRIM(D64))</f>
        <v>Patil</v>
      </c>
      <c r="G64" s="4" t="s">
        <v>18</v>
      </c>
      <c r="H64" s="4" t="s">
        <v>19</v>
      </c>
      <c r="I64" s="4" t="s">
        <v>30</v>
      </c>
      <c r="J64" s="4" t="str">
        <f>VLOOKUP(I64,products!$A$2:$C$10,2,FALSE)</f>
        <v>Home</v>
      </c>
      <c r="K64" s="4">
        <f>_xlfn.XLOOKUP(I64,products!$A$2:$A$10,products!$C$2:$C$10,"UNKNOWN_ITEM")</f>
        <v>5200</v>
      </c>
      <c r="L64" s="4">
        <v>1</v>
      </c>
      <c r="M64" s="4">
        <f>K64*L64</f>
        <v>5200</v>
      </c>
      <c r="N64" s="4">
        <v>5200</v>
      </c>
      <c r="O64" s="4" t="s">
        <v>22</v>
      </c>
    </row>
    <row r="65" spans="1:15" hidden="1">
      <c r="A65" s="4">
        <v>1064</v>
      </c>
      <c r="B65" s="4" t="s">
        <v>37</v>
      </c>
      <c r="C65" s="4" t="s">
        <v>50</v>
      </c>
      <c r="D65" s="4" t="s">
        <v>51</v>
      </c>
      <c r="E65" s="4" t="str">
        <f>PROPER(TRIM(C65))</f>
        <v>Isha</v>
      </c>
      <c r="F65" s="4" t="str">
        <f>PROPER(TRIM(D65))</f>
        <v>Pillai</v>
      </c>
      <c r="G65" s="4" t="s">
        <v>25</v>
      </c>
      <c r="H65" s="4" t="s">
        <v>26</v>
      </c>
      <c r="I65" s="4" t="s">
        <v>20</v>
      </c>
      <c r="J65" s="4" t="str">
        <f>VLOOKUP(I65,products!$A$2:$C$10,2,FALSE)</f>
        <v>Electronics</v>
      </c>
      <c r="K65" s="4">
        <f>_xlfn.XLOOKUP(I65,products!$A$2:$A$10,products!$C$2:$C$10,"UNKNOWN_ITEM")</f>
        <v>2800</v>
      </c>
      <c r="L65" s="4">
        <v>1</v>
      </c>
      <c r="M65" s="4">
        <f>K65*L65</f>
        <v>2800</v>
      </c>
      <c r="N65" s="4" t="s">
        <v>21</v>
      </c>
      <c r="O65" s="4" t="s">
        <v>22</v>
      </c>
    </row>
    <row r="66" spans="1:15">
      <c r="A66" s="4">
        <v>1088</v>
      </c>
      <c r="B66" s="4" t="s">
        <v>37</v>
      </c>
      <c r="C66" s="4" t="s">
        <v>67</v>
      </c>
      <c r="D66" s="4" t="s">
        <v>68</v>
      </c>
      <c r="E66" s="4" t="str">
        <f>PROPER(TRIM(C66))</f>
        <v>Sneha</v>
      </c>
      <c r="F66" s="4" t="str">
        <f>PROPER(TRIM(D66))</f>
        <v>Das</v>
      </c>
      <c r="G66" s="4" t="s">
        <v>25</v>
      </c>
      <c r="H66" s="4" t="s">
        <v>26</v>
      </c>
      <c r="I66" s="4" t="s">
        <v>49</v>
      </c>
      <c r="J66" s="4" t="str">
        <f>VLOOKUP(I66,products!$A$2:$C$10,2,FALSE)</f>
        <v>Electronics</v>
      </c>
      <c r="K66" s="4">
        <f>_xlfn.XLOOKUP(I66,products!$A$2:$A$10,products!$C$2:$C$10,"UNKNOWN_ITEM")</f>
        <v>3200</v>
      </c>
      <c r="L66" s="4">
        <v>1</v>
      </c>
      <c r="M66" s="4">
        <f>K66*L66</f>
        <v>3200</v>
      </c>
      <c r="N66" s="4">
        <v>3200</v>
      </c>
      <c r="O66" s="4" t="s">
        <v>38</v>
      </c>
    </row>
    <row r="67" spans="1:15">
      <c r="A67" s="4">
        <v>1038</v>
      </c>
      <c r="B67" s="4" t="s">
        <v>52</v>
      </c>
      <c r="C67" s="4" t="s">
        <v>43</v>
      </c>
      <c r="D67" s="4" t="s">
        <v>44</v>
      </c>
      <c r="E67" s="4" t="str">
        <f>PROPER(TRIM(C67))</f>
        <v>Rahul</v>
      </c>
      <c r="F67" s="4" t="str">
        <f>PROPER(TRIM(D67))</f>
        <v>Verma</v>
      </c>
      <c r="G67" s="4" t="s">
        <v>34</v>
      </c>
      <c r="H67" s="4" t="s">
        <v>35</v>
      </c>
      <c r="I67" s="4" t="s">
        <v>36</v>
      </c>
      <c r="J67" s="4" t="str">
        <f>VLOOKUP(I67,products!$A$2:$C$10,2,FALSE)</f>
        <v>Apparel</v>
      </c>
      <c r="K67" s="4">
        <f>_xlfn.XLOOKUP(I67,products!$A$2:$A$10,products!$C$2:$C$10,"UNKNOWN_ITEM")</f>
        <v>1400</v>
      </c>
      <c r="L67" s="4">
        <v>2</v>
      </c>
      <c r="M67" s="4">
        <f>K67*L67</f>
        <v>2800</v>
      </c>
      <c r="N67" s="4">
        <v>2800</v>
      </c>
      <c r="O67" s="4" t="s">
        <v>38</v>
      </c>
    </row>
    <row r="68" spans="1:15">
      <c r="A68" s="4">
        <v>1041</v>
      </c>
      <c r="B68" s="4" t="s">
        <v>52</v>
      </c>
      <c r="C68" s="4" t="s">
        <v>65</v>
      </c>
      <c r="D68" s="4" t="s">
        <v>66</v>
      </c>
      <c r="E68" s="4" t="str">
        <f>PROPER(TRIM(C68))</f>
        <v>Divya</v>
      </c>
      <c r="F68" s="4" t="str">
        <f>PROPER(TRIM(D68))</f>
        <v>Gupta</v>
      </c>
      <c r="G68" s="4" t="s">
        <v>25</v>
      </c>
      <c r="H68" s="4" t="s">
        <v>26</v>
      </c>
      <c r="I68" s="4" t="s">
        <v>20</v>
      </c>
      <c r="J68" s="4" t="str">
        <f>VLOOKUP(I68,products!$A$2:$C$10,2,FALSE)</f>
        <v>Electronics</v>
      </c>
      <c r="K68" s="4">
        <f>_xlfn.XLOOKUP(I68,products!$A$2:$A$10,products!$C$2:$C$10,"UNKNOWN_ITEM")</f>
        <v>2800</v>
      </c>
      <c r="L68" s="4">
        <v>1</v>
      </c>
      <c r="M68" s="4">
        <f>K68*L68</f>
        <v>2800</v>
      </c>
      <c r="N68" s="4">
        <v>2800</v>
      </c>
      <c r="O68" s="4" t="s">
        <v>38</v>
      </c>
    </row>
    <row r="69" spans="1:15" hidden="1">
      <c r="A69" s="4">
        <v>1068</v>
      </c>
      <c r="B69" s="4" t="s">
        <v>37</v>
      </c>
      <c r="C69" s="4" t="s">
        <v>55</v>
      </c>
      <c r="D69" s="4" t="s">
        <v>56</v>
      </c>
      <c r="E69" s="4" t="str">
        <f>PROPER(TRIM(C69))</f>
        <v>Harsh</v>
      </c>
      <c r="F69" s="4" t="str">
        <f>PROPER(TRIM(D69))</f>
        <v>Chopra</v>
      </c>
      <c r="G69" s="4" t="s">
        <v>34</v>
      </c>
      <c r="H69" s="4" t="s">
        <v>35</v>
      </c>
      <c r="I69" s="4" t="s">
        <v>30</v>
      </c>
      <c r="J69" s="4" t="str">
        <f>VLOOKUP(I69,products!$A$2:$C$10,2,FALSE)</f>
        <v>Home</v>
      </c>
      <c r="K69" s="4">
        <f>_xlfn.XLOOKUP(I69,products!$A$2:$A$10,products!$C$2:$C$10,"UNKNOWN_ITEM")</f>
        <v>5200</v>
      </c>
      <c r="L69" s="4">
        <v>1</v>
      </c>
      <c r="M69" s="4">
        <f>K69*L69</f>
        <v>5200</v>
      </c>
      <c r="N69" s="4">
        <v>5200</v>
      </c>
      <c r="O69" s="4" t="s">
        <v>22</v>
      </c>
    </row>
    <row r="70" spans="1:15">
      <c r="A70" s="4">
        <v>1043</v>
      </c>
      <c r="B70" s="4" t="s">
        <v>52</v>
      </c>
      <c r="C70" s="4" t="s">
        <v>77</v>
      </c>
      <c r="D70" s="4" t="s">
        <v>78</v>
      </c>
      <c r="E70" s="4" t="str">
        <f>PROPER(TRIM(C70))</f>
        <v>Rohit</v>
      </c>
      <c r="F70" s="4" t="str">
        <f>PROPER(TRIM(D70))</f>
        <v>Khan</v>
      </c>
      <c r="G70" s="4" t="s">
        <v>47</v>
      </c>
      <c r="H70" s="4" t="s">
        <v>48</v>
      </c>
      <c r="I70" s="4" t="s">
        <v>20</v>
      </c>
      <c r="J70" s="4" t="str">
        <f>VLOOKUP(I70,products!$A$2:$C$10,2,FALSE)</f>
        <v>Electronics</v>
      </c>
      <c r="K70" s="4">
        <f>_xlfn.XLOOKUP(I70,products!$A$2:$A$10,products!$C$2:$C$10,"UNKNOWN_ITEM")</f>
        <v>2800</v>
      </c>
      <c r="L70" s="4">
        <v>1</v>
      </c>
      <c r="M70" s="4">
        <f>K70*L70</f>
        <v>2800</v>
      </c>
      <c r="N70" s="4">
        <v>2800</v>
      </c>
      <c r="O70" s="4" t="s">
        <v>38</v>
      </c>
    </row>
    <row r="71" spans="1:15">
      <c r="A71" s="4">
        <v>1051</v>
      </c>
      <c r="B71" s="4" t="s">
        <v>52</v>
      </c>
      <c r="C71" s="4" t="s">
        <v>67</v>
      </c>
      <c r="D71" s="4" t="s">
        <v>68</v>
      </c>
      <c r="E71" s="4" t="str">
        <f>PROPER(TRIM(C71))</f>
        <v>Sneha</v>
      </c>
      <c r="F71" s="4" t="str">
        <f>PROPER(TRIM(D71))</f>
        <v>Das</v>
      </c>
      <c r="G71" s="4" t="s">
        <v>25</v>
      </c>
      <c r="H71" s="4" t="s">
        <v>26</v>
      </c>
      <c r="I71" s="4" t="s">
        <v>36</v>
      </c>
      <c r="J71" s="4" t="str">
        <f>VLOOKUP(I71,products!$A$2:$C$10,2,FALSE)</f>
        <v>Apparel</v>
      </c>
      <c r="K71" s="4">
        <f>_xlfn.XLOOKUP(I71,products!$A$2:$A$10,products!$C$2:$C$10,"UNKNOWN_ITEM")</f>
        <v>1400</v>
      </c>
      <c r="L71" s="4">
        <v>2</v>
      </c>
      <c r="M71" s="4">
        <f>K71*L71</f>
        <v>2800</v>
      </c>
      <c r="N71" s="4">
        <v>2800</v>
      </c>
      <c r="O71" s="4" t="s">
        <v>38</v>
      </c>
    </row>
    <row r="72" spans="1:15" hidden="1">
      <c r="A72" s="4">
        <v>1071</v>
      </c>
      <c r="B72" s="4" t="s">
        <v>37</v>
      </c>
      <c r="C72" s="4" t="s">
        <v>39</v>
      </c>
      <c r="D72" s="4" t="s">
        <v>40</v>
      </c>
      <c r="E72" s="4" t="str">
        <f>PROPER(TRIM(C72))</f>
        <v>Tanvi</v>
      </c>
      <c r="F72" s="4" t="str">
        <f>PROPER(TRIM(D72))</f>
        <v>Thakur</v>
      </c>
      <c r="G72" s="4" t="s">
        <v>18</v>
      </c>
      <c r="H72" s="4" t="s">
        <v>19</v>
      </c>
      <c r="I72" s="4" t="s">
        <v>30</v>
      </c>
      <c r="J72" s="4" t="str">
        <f>VLOOKUP(I72,products!$A$2:$C$10,2,FALSE)</f>
        <v>Home</v>
      </c>
      <c r="K72" s="4">
        <f>_xlfn.XLOOKUP(I72,products!$A$2:$A$10,products!$C$2:$C$10,"UNKNOWN_ITEM")</f>
        <v>5200</v>
      </c>
      <c r="L72" s="4">
        <v>1</v>
      </c>
      <c r="M72" s="4">
        <f>K72*L72</f>
        <v>5200</v>
      </c>
      <c r="N72" s="4">
        <v>5200</v>
      </c>
      <c r="O72" s="4" t="s">
        <v>22</v>
      </c>
    </row>
    <row r="73" spans="1:15">
      <c r="A73" s="4">
        <v>1076</v>
      </c>
      <c r="B73" s="4" t="s">
        <v>37</v>
      </c>
      <c r="C73" s="4" t="s">
        <v>32</v>
      </c>
      <c r="D73" s="4" t="s">
        <v>33</v>
      </c>
      <c r="E73" s="4" t="str">
        <f>PROPER(TRIM(C73))</f>
        <v>Gaurav</v>
      </c>
      <c r="F73" s="4" t="str">
        <f>PROPER(TRIM(D73))</f>
        <v>Yadav</v>
      </c>
      <c r="G73" s="4" t="s">
        <v>34</v>
      </c>
      <c r="H73" s="4" t="s">
        <v>35</v>
      </c>
      <c r="I73" s="4" t="s">
        <v>36</v>
      </c>
      <c r="J73" s="4" t="str">
        <f>VLOOKUP(I73,products!$A$2:$C$10,2,FALSE)</f>
        <v>Apparel</v>
      </c>
      <c r="K73" s="4">
        <f>_xlfn.XLOOKUP(I73,products!$A$2:$A$10,products!$C$2:$C$10,"UNKNOWN_ITEM")</f>
        <v>1400</v>
      </c>
      <c r="L73" s="4">
        <v>2</v>
      </c>
      <c r="M73" s="4">
        <f>K73*L73</f>
        <v>2800</v>
      </c>
      <c r="N73" s="4">
        <v>2800</v>
      </c>
      <c r="O73" s="4" t="s">
        <v>38</v>
      </c>
    </row>
    <row r="74" spans="1:15">
      <c r="A74" s="4">
        <v>1080</v>
      </c>
      <c r="B74" s="4" t="s">
        <v>37</v>
      </c>
      <c r="C74" s="4" t="s">
        <v>55</v>
      </c>
      <c r="D74" s="4" t="s">
        <v>56</v>
      </c>
      <c r="E74" s="4" t="str">
        <f>PROPER(TRIM(C74))</f>
        <v>Harsh</v>
      </c>
      <c r="F74" s="4" t="str">
        <f>PROPER(TRIM(D74))</f>
        <v>Chopra</v>
      </c>
      <c r="G74" s="4" t="s">
        <v>34</v>
      </c>
      <c r="H74" s="4" t="s">
        <v>35</v>
      </c>
      <c r="I74" s="4" t="s">
        <v>20</v>
      </c>
      <c r="J74" s="4" t="str">
        <f>VLOOKUP(I74,products!$A$2:$C$10,2,FALSE)</f>
        <v>Electronics</v>
      </c>
      <c r="K74" s="4">
        <f>_xlfn.XLOOKUP(I74,products!$A$2:$A$10,products!$C$2:$C$10,"UNKNOWN_ITEM")</f>
        <v>2800</v>
      </c>
      <c r="L74" s="4">
        <v>1</v>
      </c>
      <c r="M74" s="4">
        <f>K74*L74</f>
        <v>2800</v>
      </c>
      <c r="N74" s="4">
        <v>2800</v>
      </c>
      <c r="O74" s="4" t="s">
        <v>38</v>
      </c>
    </row>
    <row r="75" spans="1:15">
      <c r="A75" s="4">
        <v>1032</v>
      </c>
      <c r="B75" s="4" t="s">
        <v>52</v>
      </c>
      <c r="C75" s="4" t="s">
        <v>59</v>
      </c>
      <c r="D75" s="4" t="s">
        <v>60</v>
      </c>
      <c r="E75" s="4" t="str">
        <f>PROPER(TRIM(C75))</f>
        <v>Karthik</v>
      </c>
      <c r="F75" s="4" t="str">
        <f>PROPER(TRIM(D75))</f>
        <v>Nair</v>
      </c>
      <c r="G75" s="4" t="s">
        <v>34</v>
      </c>
      <c r="H75" s="4" t="s">
        <v>35</v>
      </c>
      <c r="I75" s="4" t="s">
        <v>74</v>
      </c>
      <c r="J75" s="4" t="str">
        <f>VLOOKUP(I75,products!$A$2:$C$10,2,FALSE)</f>
        <v>Home</v>
      </c>
      <c r="K75" s="4">
        <f>_xlfn.XLOOKUP(I75,products!$A$2:$A$10,products!$C$2:$C$10,"UNKNOWN_ITEM")</f>
        <v>1100</v>
      </c>
      <c r="L75" s="4">
        <v>2</v>
      </c>
      <c r="M75" s="4">
        <f>K75*L75</f>
        <v>2200</v>
      </c>
      <c r="N75" s="4">
        <v>2200</v>
      </c>
      <c r="O75" s="4" t="s">
        <v>38</v>
      </c>
    </row>
    <row r="76" spans="1:15" hidden="1">
      <c r="A76" s="4">
        <v>1075</v>
      </c>
      <c r="B76" s="4" t="s">
        <v>37</v>
      </c>
      <c r="C76" s="4" t="s">
        <v>67</v>
      </c>
      <c r="D76" s="4" t="s">
        <v>68</v>
      </c>
      <c r="E76" s="4" t="str">
        <f>PROPER(TRIM(C76))</f>
        <v>Sneha</v>
      </c>
      <c r="F76" s="4" t="str">
        <f>PROPER(TRIM(D76))</f>
        <v>Das</v>
      </c>
      <c r="G76" s="4" t="s">
        <v>25</v>
      </c>
      <c r="H76" s="4" t="s">
        <v>26</v>
      </c>
      <c r="I76" s="4" t="s">
        <v>64</v>
      </c>
      <c r="J76" s="4" t="str">
        <f>VLOOKUP(I76,products!$A$2:$C$10,2,FALSE)</f>
        <v>Apparel</v>
      </c>
      <c r="K76" s="4">
        <f>_xlfn.XLOOKUP(I76,products!$A$2:$A$10,products!$C$2:$C$10,"UNKNOWN_ITEM")</f>
        <v>3600</v>
      </c>
      <c r="L76" s="4">
        <v>1</v>
      </c>
      <c r="M76" s="4">
        <f>K76*L76</f>
        <v>3600</v>
      </c>
      <c r="N76" s="4">
        <v>3600</v>
      </c>
      <c r="O76" s="4" t="s">
        <v>22</v>
      </c>
    </row>
    <row r="77" spans="1:15">
      <c r="A77" s="4">
        <v>1039</v>
      </c>
      <c r="B77" s="4" t="s">
        <v>52</v>
      </c>
      <c r="C77" s="4" t="s">
        <v>43</v>
      </c>
      <c r="D77" s="4" t="s">
        <v>44</v>
      </c>
      <c r="E77" s="4" t="str">
        <f>PROPER(TRIM(C77))</f>
        <v>Rahul</v>
      </c>
      <c r="F77" s="4" t="str">
        <f>PROPER(TRIM(D77))</f>
        <v>Verma</v>
      </c>
      <c r="G77" s="4" t="s">
        <v>34</v>
      </c>
      <c r="H77" s="4" t="s">
        <v>35</v>
      </c>
      <c r="I77" s="4" t="s">
        <v>74</v>
      </c>
      <c r="J77" s="4" t="str">
        <f>VLOOKUP(I77,products!$A$2:$C$10,2,FALSE)</f>
        <v>Home</v>
      </c>
      <c r="K77" s="4">
        <f>_xlfn.XLOOKUP(I77,products!$A$2:$A$10,products!$C$2:$C$10,"UNKNOWN_ITEM")</f>
        <v>1100</v>
      </c>
      <c r="L77" s="4">
        <v>2</v>
      </c>
      <c r="M77" s="4">
        <f>K77*L77</f>
        <v>2200</v>
      </c>
      <c r="N77" s="4">
        <v>2200</v>
      </c>
      <c r="O77" s="4" t="s">
        <v>38</v>
      </c>
    </row>
    <row r="78" spans="1:15">
      <c r="A78" s="4">
        <v>1070</v>
      </c>
      <c r="B78" s="4" t="s">
        <v>37</v>
      </c>
      <c r="C78" s="4" t="s">
        <v>16</v>
      </c>
      <c r="D78" s="4" t="s">
        <v>17</v>
      </c>
      <c r="E78" s="4" t="str">
        <f>PROPER(TRIM(C78))</f>
        <v>Meera</v>
      </c>
      <c r="F78" s="4" t="str">
        <f>PROPER(TRIM(D78))</f>
        <v>Patil</v>
      </c>
      <c r="G78" s="4" t="s">
        <v>18</v>
      </c>
      <c r="H78" s="4" t="s">
        <v>19</v>
      </c>
      <c r="I78" s="4" t="s">
        <v>74</v>
      </c>
      <c r="J78" s="4" t="str">
        <f>VLOOKUP(I78,products!$A$2:$C$10,2,FALSE)</f>
        <v>Home</v>
      </c>
      <c r="K78" s="4">
        <f>_xlfn.XLOOKUP(I78,products!$A$2:$A$10,products!$C$2:$C$10,"UNKNOWN_ITEM")</f>
        <v>1100</v>
      </c>
      <c r="L78" s="4">
        <v>2</v>
      </c>
      <c r="M78" s="4">
        <f>K78*L78</f>
        <v>2200</v>
      </c>
      <c r="N78" s="4">
        <v>2200</v>
      </c>
      <c r="O78" s="4" t="s">
        <v>38</v>
      </c>
    </row>
    <row r="79" spans="1:15" hidden="1">
      <c r="A79" s="4">
        <v>1078</v>
      </c>
      <c r="B79" s="4" t="s">
        <v>37</v>
      </c>
      <c r="C79" s="4" t="s">
        <v>43</v>
      </c>
      <c r="D79" s="4" t="s">
        <v>44</v>
      </c>
      <c r="E79" s="4" t="str">
        <f>PROPER(TRIM(C79))</f>
        <v>Rahul</v>
      </c>
      <c r="F79" s="4" t="str">
        <f>PROPER(TRIM(D79))</f>
        <v>Verma</v>
      </c>
      <c r="G79" s="4" t="s">
        <v>34</v>
      </c>
      <c r="H79" s="4" t="s">
        <v>35</v>
      </c>
      <c r="I79" s="4" t="s">
        <v>36</v>
      </c>
      <c r="J79" s="4" t="str">
        <f>VLOOKUP(I79,products!$A$2:$C$10,2,FALSE)</f>
        <v>Apparel</v>
      </c>
      <c r="K79" s="4">
        <f>_xlfn.XLOOKUP(I79,products!$A$2:$A$10,products!$C$2:$C$10,"UNKNOWN_ITEM")</f>
        <v>1400</v>
      </c>
      <c r="L79" s="4">
        <v>1</v>
      </c>
      <c r="M79" s="4">
        <f>K79*L79</f>
        <v>1400</v>
      </c>
      <c r="N79" s="4">
        <v>1400</v>
      </c>
      <c r="O79" s="4" t="s">
        <v>22</v>
      </c>
    </row>
    <row r="80" spans="1:15">
      <c r="A80" s="4">
        <v>1007</v>
      </c>
      <c r="B80" s="4" t="s">
        <v>15</v>
      </c>
      <c r="C80" s="4" t="s">
        <v>39</v>
      </c>
      <c r="D80" s="4" t="s">
        <v>40</v>
      </c>
      <c r="E80" s="4" t="str">
        <f>PROPER(TRIM(C80))</f>
        <v>Tanvi</v>
      </c>
      <c r="F80" s="4" t="str">
        <f>PROPER(TRIM(D80))</f>
        <v>Thakur</v>
      </c>
      <c r="G80" s="4" t="s">
        <v>18</v>
      </c>
      <c r="H80" s="4" t="s">
        <v>19</v>
      </c>
      <c r="I80" s="4" t="s">
        <v>73</v>
      </c>
      <c r="J80" s="4" t="str">
        <f>VLOOKUP(I80,products!$A$2:$C$10,2,FALSE)</f>
        <v>Home</v>
      </c>
      <c r="K80" s="4">
        <f>_xlfn.XLOOKUP(I80,products!$A$2:$A$10,products!$C$2:$C$10,"UNKNOWN_ITEM")</f>
        <v>1900</v>
      </c>
      <c r="L80" s="4">
        <v>1</v>
      </c>
      <c r="M80" s="4">
        <f>K80*L80</f>
        <v>1900</v>
      </c>
      <c r="N80" s="4">
        <v>1900</v>
      </c>
      <c r="O80" s="4" t="s">
        <v>38</v>
      </c>
    </row>
    <row r="81" spans="1:15">
      <c r="A81" s="4">
        <v>1009</v>
      </c>
      <c r="B81" s="4" t="s">
        <v>15</v>
      </c>
      <c r="C81" s="4" t="s">
        <v>43</v>
      </c>
      <c r="D81" s="4" t="s">
        <v>44</v>
      </c>
      <c r="E81" s="4" t="str">
        <f>PROPER(TRIM(C81))</f>
        <v>Rahul</v>
      </c>
      <c r="F81" s="4" t="str">
        <f>PROPER(TRIM(D81))</f>
        <v>Verma</v>
      </c>
      <c r="G81" s="4" t="s">
        <v>34</v>
      </c>
      <c r="H81" s="4" t="s">
        <v>35</v>
      </c>
      <c r="I81" s="4" t="s">
        <v>73</v>
      </c>
      <c r="J81" s="4" t="str">
        <f>VLOOKUP(I81,products!$A$2:$C$10,2,FALSE)</f>
        <v>Home</v>
      </c>
      <c r="K81" s="4">
        <f>_xlfn.XLOOKUP(I81,products!$A$2:$A$10,products!$C$2:$C$10,"UNKNOWN_ITEM")</f>
        <v>1900</v>
      </c>
      <c r="L81" s="4">
        <v>1</v>
      </c>
      <c r="M81" s="4">
        <f>K81*L81</f>
        <v>1900</v>
      </c>
      <c r="N81" s="4">
        <v>1900</v>
      </c>
      <c r="O81" s="4" t="s">
        <v>38</v>
      </c>
    </row>
    <row r="82" spans="1:15">
      <c r="A82" s="4">
        <v>1046</v>
      </c>
      <c r="B82" s="4" t="s">
        <v>52</v>
      </c>
      <c r="C82" s="4" t="s">
        <v>45</v>
      </c>
      <c r="D82" s="4" t="s">
        <v>46</v>
      </c>
      <c r="E82" s="4" t="str">
        <f>PROPER(TRIM(C82))</f>
        <v>Vikram</v>
      </c>
      <c r="F82" s="4" t="str">
        <f>PROPER(TRIM(D82))</f>
        <v>Singh</v>
      </c>
      <c r="G82" s="4" t="s">
        <v>47</v>
      </c>
      <c r="H82" s="4" t="s">
        <v>48</v>
      </c>
      <c r="I82" s="4" t="s">
        <v>73</v>
      </c>
      <c r="J82" s="4" t="str">
        <f>VLOOKUP(I82,products!$A$2:$C$10,2,FALSE)</f>
        <v>Home</v>
      </c>
      <c r="K82" s="4">
        <f>_xlfn.XLOOKUP(I82,products!$A$2:$A$10,products!$C$2:$C$10,"UNKNOWN_ITEM")</f>
        <v>1900</v>
      </c>
      <c r="L82" s="4">
        <v>1</v>
      </c>
      <c r="M82" s="4">
        <f>K82*L82</f>
        <v>1900</v>
      </c>
      <c r="N82" s="4">
        <v>1900</v>
      </c>
      <c r="O82" s="4" t="s">
        <v>38</v>
      </c>
    </row>
    <row r="83" spans="1:15" hidden="1">
      <c r="A83" s="4">
        <v>1082</v>
      </c>
      <c r="B83" s="4" t="s">
        <v>37</v>
      </c>
      <c r="C83" s="4" t="s">
        <v>59</v>
      </c>
      <c r="D83" s="4" t="s">
        <v>60</v>
      </c>
      <c r="E83" s="4" t="str">
        <f>PROPER(TRIM(C83))</f>
        <v>Karthik</v>
      </c>
      <c r="F83" s="4" t="str">
        <f>PROPER(TRIM(D83))</f>
        <v>Nair</v>
      </c>
      <c r="G83" s="4" t="s">
        <v>34</v>
      </c>
      <c r="H83" s="4" t="s">
        <v>35</v>
      </c>
      <c r="I83" s="4" t="s">
        <v>64</v>
      </c>
      <c r="J83" s="4" t="str">
        <f>VLOOKUP(I83,products!$A$2:$C$10,2,FALSE)</f>
        <v>Apparel</v>
      </c>
      <c r="K83" s="4">
        <f>_xlfn.XLOOKUP(I83,products!$A$2:$A$10,products!$C$2:$C$10,"UNKNOWN_ITEM")</f>
        <v>3600</v>
      </c>
      <c r="L83" s="4">
        <v>3</v>
      </c>
      <c r="M83" s="4">
        <f>K83*L83</f>
        <v>10800</v>
      </c>
      <c r="N83" s="4">
        <v>10800</v>
      </c>
      <c r="O83" s="4" t="s">
        <v>31</v>
      </c>
    </row>
    <row r="84" spans="1:15">
      <c r="A84" s="4">
        <v>1072</v>
      </c>
      <c r="B84" s="4" t="s">
        <v>37</v>
      </c>
      <c r="C84" s="4" t="s">
        <v>50</v>
      </c>
      <c r="D84" s="4" t="s">
        <v>51</v>
      </c>
      <c r="E84" s="4" t="str">
        <f>PROPER(TRIM(C84))</f>
        <v>Isha</v>
      </c>
      <c r="F84" s="4" t="str">
        <f>PROPER(TRIM(D84))</f>
        <v>Pillai</v>
      </c>
      <c r="G84" s="4" t="s">
        <v>25</v>
      </c>
      <c r="H84" s="4" t="s">
        <v>26</v>
      </c>
      <c r="I84" s="4" t="s">
        <v>73</v>
      </c>
      <c r="J84" s="4" t="str">
        <f>VLOOKUP(I84,products!$A$2:$C$10,2,FALSE)</f>
        <v>Home</v>
      </c>
      <c r="K84" s="4">
        <f>_xlfn.XLOOKUP(I84,products!$A$2:$A$10,products!$C$2:$C$10,"UNKNOWN_ITEM")</f>
        <v>1900</v>
      </c>
      <c r="L84" s="4">
        <v>1</v>
      </c>
      <c r="M84" s="4">
        <f>K84*L84</f>
        <v>1900</v>
      </c>
      <c r="N84" s="4">
        <v>1900</v>
      </c>
      <c r="O84" s="4" t="s">
        <v>38</v>
      </c>
    </row>
    <row r="85" spans="1:15">
      <c r="A85" s="4">
        <v>1024</v>
      </c>
      <c r="B85" s="4" t="s">
        <v>15</v>
      </c>
      <c r="C85" s="4" t="s">
        <v>69</v>
      </c>
      <c r="D85" s="4" t="s">
        <v>70</v>
      </c>
      <c r="E85" s="4" t="str">
        <f>PROPER(TRIM(C85))</f>
        <v>Priya</v>
      </c>
      <c r="F85" s="4" t="str">
        <f>PROPER(TRIM(D85))</f>
        <v>Iyer</v>
      </c>
      <c r="G85" s="4" t="s">
        <v>18</v>
      </c>
      <c r="H85" s="4" t="s">
        <v>19</v>
      </c>
      <c r="I85" s="4" t="s">
        <v>36</v>
      </c>
      <c r="J85" s="4" t="str">
        <f>VLOOKUP(I85,products!$A$2:$C$10,2,FALSE)</f>
        <v>Apparel</v>
      </c>
      <c r="K85" s="4">
        <f>_xlfn.XLOOKUP(I85,products!$A$2:$A$10,products!$C$2:$C$10,"UNKNOWN_ITEM")</f>
        <v>1400</v>
      </c>
      <c r="L85" s="4">
        <v>1</v>
      </c>
      <c r="M85" s="4">
        <f>K85*L85</f>
        <v>1400</v>
      </c>
      <c r="N85" s="4">
        <v>1400</v>
      </c>
      <c r="O85" s="4" t="s">
        <v>38</v>
      </c>
    </row>
    <row r="86" spans="1:15">
      <c r="A86" s="4">
        <v>1026</v>
      </c>
      <c r="B86" s="4" t="s">
        <v>15</v>
      </c>
      <c r="C86" s="4" t="s">
        <v>45</v>
      </c>
      <c r="D86" s="4" t="s">
        <v>46</v>
      </c>
      <c r="E86" s="4" t="str">
        <f>PROPER(TRIM(C86))</f>
        <v>Vikram</v>
      </c>
      <c r="F86" s="4" t="str">
        <f>PROPER(TRIM(D86))</f>
        <v>Singh</v>
      </c>
      <c r="G86" s="4" t="s">
        <v>47</v>
      </c>
      <c r="H86" s="4" t="s">
        <v>48</v>
      </c>
      <c r="I86" s="4" t="s">
        <v>36</v>
      </c>
      <c r="J86" s="4" t="str">
        <f>VLOOKUP(I86,products!$A$2:$C$10,2,FALSE)</f>
        <v>Apparel</v>
      </c>
      <c r="K86" s="4">
        <f>_xlfn.XLOOKUP(I86,products!$A$2:$A$10,products!$C$2:$C$10,"UNKNOWN_ITEM")</f>
        <v>1400</v>
      </c>
      <c r="L86" s="4">
        <v>1</v>
      </c>
      <c r="M86" s="4">
        <f>K86*L86</f>
        <v>1400</v>
      </c>
      <c r="N86" s="4">
        <v>1400</v>
      </c>
      <c r="O86" s="4" t="s">
        <v>38</v>
      </c>
    </row>
    <row r="87" spans="1:15">
      <c r="A87" s="4">
        <v>1079</v>
      </c>
      <c r="B87" s="4" t="s">
        <v>37</v>
      </c>
      <c r="C87" s="4" t="s">
        <v>67</v>
      </c>
      <c r="D87" s="4" t="s">
        <v>68</v>
      </c>
      <c r="E87" s="4" t="str">
        <f>PROPER(TRIM(C87))</f>
        <v>Sneha</v>
      </c>
      <c r="F87" s="4" t="str">
        <f>PROPER(TRIM(D87))</f>
        <v>Das</v>
      </c>
      <c r="G87" s="4" t="s">
        <v>25</v>
      </c>
      <c r="H87" s="4" t="s">
        <v>26</v>
      </c>
      <c r="I87" s="4" t="s">
        <v>36</v>
      </c>
      <c r="J87" s="4" t="str">
        <f>VLOOKUP(I87,products!$A$2:$C$10,2,FALSE)</f>
        <v>Apparel</v>
      </c>
      <c r="K87" s="4">
        <f>_xlfn.XLOOKUP(I87,products!$A$2:$A$10,products!$C$2:$C$10,"UNKNOWN_ITEM")</f>
        <v>1400</v>
      </c>
      <c r="L87" s="4">
        <v>1</v>
      </c>
      <c r="M87" s="4">
        <f>K87*L87</f>
        <v>1400</v>
      </c>
      <c r="N87" s="4">
        <v>1400</v>
      </c>
      <c r="O87" s="4" t="s">
        <v>38</v>
      </c>
    </row>
    <row r="88" spans="1:15">
      <c r="A88" s="4">
        <v>1005</v>
      </c>
      <c r="B88" s="4" t="s">
        <v>15</v>
      </c>
      <c r="C88" s="4" t="s">
        <v>39</v>
      </c>
      <c r="D88" s="4" t="s">
        <v>40</v>
      </c>
      <c r="E88" s="4" t="str">
        <f>PROPER(TRIM(C88))</f>
        <v>Tanvi</v>
      </c>
      <c r="F88" s="4" t="str">
        <f>PROPER(TRIM(D88))</f>
        <v>Thakur</v>
      </c>
      <c r="G88" s="4" t="s">
        <v>18</v>
      </c>
      <c r="H88" s="4" t="s">
        <v>19</v>
      </c>
      <c r="I88" s="4" t="s">
        <v>74</v>
      </c>
      <c r="J88" s="4" t="str">
        <f>VLOOKUP(I88,products!$A$2:$C$10,2,FALSE)</f>
        <v>Home</v>
      </c>
      <c r="K88" s="4">
        <f>_xlfn.XLOOKUP(I88,products!$A$2:$A$10,products!$C$2:$C$10,"UNKNOWN_ITEM")</f>
        <v>1100</v>
      </c>
      <c r="L88" s="4">
        <v>1</v>
      </c>
      <c r="M88" s="4">
        <f>K88*L88</f>
        <v>1100</v>
      </c>
      <c r="N88" s="4">
        <v>1100</v>
      </c>
      <c r="O88" s="4" t="s">
        <v>38</v>
      </c>
    </row>
    <row r="89" spans="1:15">
      <c r="A89" s="4">
        <v>1025</v>
      </c>
      <c r="B89" s="4" t="s">
        <v>15</v>
      </c>
      <c r="C89" s="4" t="s">
        <v>65</v>
      </c>
      <c r="D89" s="4" t="s">
        <v>66</v>
      </c>
      <c r="E89" s="4" t="str">
        <f>PROPER(TRIM(C89))</f>
        <v>Divya</v>
      </c>
      <c r="F89" s="4" t="str">
        <f>PROPER(TRIM(D89))</f>
        <v>Gupta</v>
      </c>
      <c r="G89" s="4" t="s">
        <v>25</v>
      </c>
      <c r="H89" s="4" t="s">
        <v>26</v>
      </c>
      <c r="I89" s="4" t="s">
        <v>74</v>
      </c>
      <c r="J89" s="4" t="str">
        <f>VLOOKUP(I89,products!$A$2:$C$10,2,FALSE)</f>
        <v>Home</v>
      </c>
      <c r="K89" s="4">
        <f>_xlfn.XLOOKUP(I89,products!$A$2:$A$10,products!$C$2:$C$10,"UNKNOWN_ITEM")</f>
        <v>1100</v>
      </c>
      <c r="L89" s="4">
        <v>1</v>
      </c>
      <c r="M89" s="4">
        <f>K89*L89</f>
        <v>1100</v>
      </c>
      <c r="N89" s="4">
        <v>1100</v>
      </c>
      <c r="O89" s="4" t="s">
        <v>38</v>
      </c>
    </row>
    <row r="90" spans="1:15">
      <c r="A90" s="4">
        <v>1048</v>
      </c>
      <c r="B90" s="4" t="s">
        <v>52</v>
      </c>
      <c r="C90" s="4" t="s">
        <v>69</v>
      </c>
      <c r="D90" s="4" t="s">
        <v>70</v>
      </c>
      <c r="E90" s="4" t="str">
        <f>PROPER(TRIM(C90))</f>
        <v>Priya</v>
      </c>
      <c r="F90" s="4" t="str">
        <f>PROPER(TRIM(D90))</f>
        <v>Iyer</v>
      </c>
      <c r="G90" s="4" t="s">
        <v>18</v>
      </c>
      <c r="H90" s="4" t="s">
        <v>19</v>
      </c>
      <c r="I90" s="4" t="s">
        <v>74</v>
      </c>
      <c r="J90" s="4" t="str">
        <f>VLOOKUP(I90,products!$A$2:$C$10,2,FALSE)</f>
        <v>Home</v>
      </c>
      <c r="K90" s="4">
        <f>_xlfn.XLOOKUP(I90,products!$A$2:$A$10,products!$C$2:$C$10,"UNKNOWN_ITEM")</f>
        <v>1100</v>
      </c>
      <c r="L90" s="4">
        <v>1</v>
      </c>
      <c r="M90" s="4">
        <f>K90*L90</f>
        <v>1100</v>
      </c>
      <c r="N90" s="4">
        <v>1100</v>
      </c>
      <c r="O90" s="4" t="s">
        <v>38</v>
      </c>
    </row>
    <row r="91" spans="1:15">
      <c r="A91" s="4">
        <v>1089</v>
      </c>
      <c r="B91" s="4" t="s">
        <v>37</v>
      </c>
      <c r="C91" s="4" t="s">
        <v>16</v>
      </c>
      <c r="D91" s="4" t="s">
        <v>17</v>
      </c>
      <c r="E91" s="4" t="str">
        <f>PROPER(TRIM(C91))</f>
        <v>Meera</v>
      </c>
      <c r="F91" s="4" t="str">
        <f>PROPER(TRIM(D91))</f>
        <v>Patil</v>
      </c>
      <c r="G91" s="4" t="s">
        <v>18</v>
      </c>
      <c r="H91" s="4" t="s">
        <v>19</v>
      </c>
      <c r="I91" s="4" t="s">
        <v>74</v>
      </c>
      <c r="J91" s="4" t="str">
        <f>VLOOKUP(I91,products!$A$2:$C$10,2,FALSE)</f>
        <v>Home</v>
      </c>
      <c r="K91" s="4">
        <f>_xlfn.XLOOKUP(I91,products!$A$2:$A$10,products!$C$2:$C$10,"UNKNOWN_ITEM")</f>
        <v>1100</v>
      </c>
      <c r="L91" s="4">
        <v>1</v>
      </c>
      <c r="M91" s="4">
        <f>K91*L91</f>
        <v>1100</v>
      </c>
      <c r="N91" s="4">
        <v>1100</v>
      </c>
      <c r="O91" s="4" t="s">
        <v>38</v>
      </c>
    </row>
    <row r="92" spans="1:15">
      <c r="M92" s="4"/>
    </row>
    <row r="93" spans="1:15">
      <c r="D93" t="s">
        <v>79</v>
      </c>
      <c r="E93" t="str">
        <f>_xlfn.XLOOKUP("Mystery Item",products!$A$2:$A$10,products!$C$2:$C$10,"UNKNOWN_ITEM")</f>
        <v>UNKNOWN_ITEM</v>
      </c>
      <c r="M93" s="4"/>
    </row>
    <row r="94" spans="1:15">
      <c r="E94" t="str">
        <f>_xlfn.XLOOKUP("Mystery Item",products!$A$2:$A$10,products!$C$2:$C$10,"UNKNOWN_ITEM")</f>
        <v>UNKNOWN_ITEM</v>
      </c>
      <c r="M94" s="4"/>
    </row>
    <row r="95" spans="1:15">
      <c r="E95" t="str">
        <f>_xlfn.XLOOKUP("Mystery Item",products!$A$2:$A$10,products!$C$2:$C$10,"UNKNOWN_ITEM")</f>
        <v>UNKNOWN_ITEM</v>
      </c>
      <c r="M95" s="4"/>
    </row>
    <row r="96" spans="1:15">
      <c r="E96" t="str">
        <f>_xlfn.XLOOKUP("Mystery Item",products!$A$2:$A$10,products!$C$2:$C$10,"UNKNOWN_ITEM")</f>
        <v>UNKNOWN_ITEM</v>
      </c>
      <c r="M96" s="4"/>
    </row>
    <row r="97" spans="13:13">
      <c r="M97" s="4"/>
    </row>
    <row r="98" spans="13:13">
      <c r="M98" s="4"/>
    </row>
    <row r="99" spans="13:13">
      <c r="M99" s="4"/>
    </row>
    <row r="100" spans="13:13">
      <c r="M100" s="4"/>
    </row>
    <row r="101" spans="13:13">
      <c r="M101" s="4"/>
    </row>
    <row r="102" spans="13:13">
      <c r="M102" s="4"/>
    </row>
    <row r="103" spans="13:13">
      <c r="M103" s="4"/>
    </row>
    <row r="104" spans="13:13">
      <c r="M104" s="4"/>
    </row>
    <row r="105" spans="13:13">
      <c r="M105" s="4"/>
    </row>
    <row r="106" spans="13:13">
      <c r="M106" s="4"/>
    </row>
  </sheetData>
  <autoFilter ref="A1:O91" xr:uid="{00000000-0001-0000-0000-000000000000}">
    <filterColumn colId="14">
      <filters>
        <filter val="completed"/>
      </filters>
    </filterColumn>
    <sortState xmlns:xlrd2="http://schemas.microsoft.com/office/spreadsheetml/2017/richdata2" ref="A2:O91">
      <sortCondition descending="1" ref="N1:N9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5F0E7-BF6F-4F45-A2DE-45C943044420}">
  <dimension ref="A1:C12"/>
  <sheetViews>
    <sheetView tabSelected="1" workbookViewId="0">
      <selection activeCell="A13" sqref="A13"/>
    </sheetView>
  </sheetViews>
  <sheetFormatPr defaultRowHeight="15"/>
  <cols>
    <col min="1" max="2" width="25.7109375" customWidth="1"/>
    <col min="3" max="3" width="22.42578125" customWidth="1"/>
  </cols>
  <sheetData>
    <row r="1" spans="1:3" s="1" customFormat="1" ht="24" customHeight="1">
      <c r="A1" s="3" t="s">
        <v>8</v>
      </c>
      <c r="B1" s="3" t="s">
        <v>9</v>
      </c>
      <c r="C1" s="3" t="s">
        <v>80</v>
      </c>
    </row>
    <row r="2" spans="1:3">
      <c r="A2" s="2" t="s">
        <v>30</v>
      </c>
      <c r="B2" s="2" t="s">
        <v>81</v>
      </c>
      <c r="C2" s="2">
        <v>5200</v>
      </c>
    </row>
    <row r="3" spans="1:3">
      <c r="A3" s="2" t="s">
        <v>73</v>
      </c>
      <c r="B3" s="2" t="s">
        <v>81</v>
      </c>
      <c r="C3" s="2">
        <v>1900</v>
      </c>
    </row>
    <row r="4" spans="1:3">
      <c r="A4" s="2" t="s">
        <v>20</v>
      </c>
      <c r="B4" s="2" t="s">
        <v>82</v>
      </c>
      <c r="C4" s="2">
        <v>2800</v>
      </c>
    </row>
    <row r="5" spans="1:3">
      <c r="A5" s="2" t="s">
        <v>36</v>
      </c>
      <c r="B5" s="2" t="s">
        <v>83</v>
      </c>
      <c r="C5" s="2">
        <v>1400</v>
      </c>
    </row>
    <row r="6" spans="1:3">
      <c r="A6" s="2" t="s">
        <v>63</v>
      </c>
      <c r="B6" s="2" t="s">
        <v>83</v>
      </c>
      <c r="C6" s="2">
        <v>2500</v>
      </c>
    </row>
    <row r="7" spans="1:3">
      <c r="A7" s="2" t="s">
        <v>64</v>
      </c>
      <c r="B7" s="2" t="s">
        <v>83</v>
      </c>
      <c r="C7" s="2">
        <v>3600</v>
      </c>
    </row>
    <row r="8" spans="1:3">
      <c r="A8" s="2" t="s">
        <v>27</v>
      </c>
      <c r="B8" s="2" t="s">
        <v>82</v>
      </c>
      <c r="C8" s="2">
        <v>4500</v>
      </c>
    </row>
    <row r="9" spans="1:3">
      <c r="A9" s="2" t="s">
        <v>74</v>
      </c>
      <c r="B9" s="2" t="s">
        <v>81</v>
      </c>
      <c r="C9" s="2">
        <v>1100</v>
      </c>
    </row>
    <row r="10" spans="1:3">
      <c r="A10" s="2" t="s">
        <v>49</v>
      </c>
      <c r="B10" s="2" t="s">
        <v>82</v>
      </c>
      <c r="C10" s="2">
        <v>3200</v>
      </c>
    </row>
    <row r="12" spans="1:3">
      <c r="A12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30D29-E82A-4FE5-B789-8A47E171CC5D}">
  <dimension ref="A1:P65"/>
  <sheetViews>
    <sheetView topLeftCell="A51" workbookViewId="0">
      <selection activeCell="J2" sqref="J2:J64"/>
    </sheetView>
  </sheetViews>
  <sheetFormatPr defaultRowHeight="15"/>
  <cols>
    <col min="2" max="2" width="13.42578125" customWidth="1"/>
    <col min="3" max="3" width="13.28515625" customWidth="1"/>
    <col min="4" max="4" width="15.5703125" customWidth="1"/>
    <col min="12" max="12" width="12.28515625" customWidth="1"/>
    <col min="15" max="15" width="11.5703125" customWidth="1"/>
  </cols>
  <sheetData>
    <row r="1" spans="1:16">
      <c r="A1" s="5" t="s">
        <v>0</v>
      </c>
      <c r="B1" s="5" t="s">
        <v>1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9</v>
      </c>
      <c r="I1" s="5" t="s">
        <v>10</v>
      </c>
      <c r="J1" s="5" t="s">
        <v>11</v>
      </c>
      <c r="K1" s="5" t="s">
        <v>13</v>
      </c>
      <c r="L1" s="5" t="s">
        <v>12</v>
      </c>
      <c r="M1" s="5" t="s">
        <v>14</v>
      </c>
      <c r="N1" t="s">
        <v>85</v>
      </c>
      <c r="O1" s="6" t="s">
        <v>86</v>
      </c>
      <c r="P1" s="6" t="s">
        <v>87</v>
      </c>
    </row>
    <row r="2" spans="1:16">
      <c r="A2" s="4">
        <v>1061</v>
      </c>
      <c r="B2" s="4" t="s">
        <v>37</v>
      </c>
      <c r="C2" s="4" t="s">
        <v>23</v>
      </c>
      <c r="D2" s="4" t="s">
        <v>24</v>
      </c>
      <c r="E2" s="4" t="s">
        <v>25</v>
      </c>
      <c r="F2" s="4" t="s">
        <v>26</v>
      </c>
      <c r="G2" s="4" t="s">
        <v>30</v>
      </c>
      <c r="H2" s="4" t="str">
        <f>VLOOKUP(G2,products!$A$2:$C$10,2,FALSE)</f>
        <v>Home</v>
      </c>
      <c r="I2" s="4">
        <f>_xlfn.XLOOKUP(G2,products!$A$2:$A$10,products!$C$2:$C$10,"UNKNOWN_ITEM")</f>
        <v>5200</v>
      </c>
      <c r="J2" s="4">
        <v>3</v>
      </c>
      <c r="K2" s="4">
        <v>15600</v>
      </c>
      <c r="L2" s="4">
        <f>I2*J2</f>
        <v>15600</v>
      </c>
      <c r="M2" s="4" t="s">
        <v>38</v>
      </c>
      <c r="O2" s="7" t="s">
        <v>88</v>
      </c>
      <c r="P2" s="7">
        <f>COUNT(K2:K64)</f>
        <v>63</v>
      </c>
    </row>
    <row r="3" spans="1:16">
      <c r="A3" s="4">
        <v>1065</v>
      </c>
      <c r="B3" s="4" t="s">
        <v>37</v>
      </c>
      <c r="C3" s="4" t="s">
        <v>39</v>
      </c>
      <c r="D3" s="4" t="s">
        <v>40</v>
      </c>
      <c r="E3" s="4" t="s">
        <v>18</v>
      </c>
      <c r="F3" s="4" t="s">
        <v>19</v>
      </c>
      <c r="G3" s="4" t="s">
        <v>30</v>
      </c>
      <c r="H3" s="4" t="str">
        <f>VLOOKUP(G3,products!$A$2:$C$10,2,FALSE)</f>
        <v>Home</v>
      </c>
      <c r="I3" s="4">
        <f>_xlfn.XLOOKUP(G3,products!$A$2:$A$10,products!$C$2:$C$10,"UNKNOWN_ITEM")</f>
        <v>5200</v>
      </c>
      <c r="J3" s="4">
        <v>3</v>
      </c>
      <c r="K3" s="4">
        <v>15600</v>
      </c>
      <c r="L3" s="4">
        <f>I3*J3</f>
        <v>15600</v>
      </c>
      <c r="M3" s="4" t="s">
        <v>38</v>
      </c>
      <c r="O3" s="7" t="s">
        <v>89</v>
      </c>
      <c r="P3" s="7">
        <f>SUM(K2:K64)</f>
        <v>346200</v>
      </c>
    </row>
    <row r="4" spans="1:16">
      <c r="A4" s="4">
        <v>1069</v>
      </c>
      <c r="B4" s="4" t="s">
        <v>37</v>
      </c>
      <c r="C4" s="4" t="s">
        <v>90</v>
      </c>
      <c r="D4" s="4" t="s">
        <v>42</v>
      </c>
      <c r="E4" s="4" t="s">
        <v>34</v>
      </c>
      <c r="F4" s="4" t="s">
        <v>35</v>
      </c>
      <c r="G4" s="4" t="s">
        <v>30</v>
      </c>
      <c r="H4" s="4" t="str">
        <f>VLOOKUP(G4,products!$A$2:$C$10,2,FALSE)</f>
        <v>Home</v>
      </c>
      <c r="I4" s="4">
        <f>_xlfn.XLOOKUP(G4,products!$A$2:$A$10,products!$C$2:$C$10,"UNKNOWN_ITEM")</f>
        <v>5200</v>
      </c>
      <c r="J4" s="4">
        <v>3</v>
      </c>
      <c r="K4" s="4">
        <v>15600</v>
      </c>
      <c r="L4" s="4">
        <f>I4*J4</f>
        <v>15600</v>
      </c>
      <c r="M4" s="4" t="s">
        <v>38</v>
      </c>
      <c r="O4" s="7" t="s">
        <v>91</v>
      </c>
      <c r="P4" s="7">
        <f>AVERAGE(K2:K64)</f>
        <v>5495.2380952380954</v>
      </c>
    </row>
    <row r="5" spans="1:16">
      <c r="A5" s="4">
        <v>1077</v>
      </c>
      <c r="B5" s="4" t="s">
        <v>37</v>
      </c>
      <c r="C5" s="4" t="s">
        <v>92</v>
      </c>
      <c r="D5" s="4" t="s">
        <v>93</v>
      </c>
      <c r="E5" s="4" t="s">
        <v>34</v>
      </c>
      <c r="F5" s="4" t="s">
        <v>35</v>
      </c>
      <c r="G5" s="4" t="s">
        <v>30</v>
      </c>
      <c r="H5" s="4" t="str">
        <f>VLOOKUP(G5,products!$A$2:$C$10,2,FALSE)</f>
        <v>Home</v>
      </c>
      <c r="I5" s="4">
        <f>_xlfn.XLOOKUP(G5,products!$A$2:$A$10,products!$C$2:$C$10,"UNKNOWN_ITEM")</f>
        <v>5200</v>
      </c>
      <c r="J5" s="4">
        <v>3</v>
      </c>
      <c r="K5" s="4">
        <v>15600</v>
      </c>
      <c r="L5" s="4">
        <f>I5*J5</f>
        <v>15600</v>
      </c>
      <c r="M5" s="4" t="s">
        <v>38</v>
      </c>
      <c r="O5" s="7" t="s">
        <v>94</v>
      </c>
      <c r="P5" s="7">
        <f>MIN(K2:K64)</f>
        <v>1100</v>
      </c>
    </row>
    <row r="6" spans="1:16">
      <c r="A6" s="4">
        <v>1006</v>
      </c>
      <c r="B6" s="4" t="s">
        <v>15</v>
      </c>
      <c r="C6" s="4" t="s">
        <v>95</v>
      </c>
      <c r="D6" s="4" t="s">
        <v>96</v>
      </c>
      <c r="E6" s="4" t="s">
        <v>47</v>
      </c>
      <c r="F6" s="4" t="s">
        <v>48</v>
      </c>
      <c r="G6" s="4" t="s">
        <v>27</v>
      </c>
      <c r="H6" s="4" t="str">
        <f>VLOOKUP(G6,products!$A$2:$C$10,2,FALSE)</f>
        <v>Electronics</v>
      </c>
      <c r="I6" s="4">
        <f>_xlfn.XLOOKUP(G6,products!$A$2:$A$10,products!$C$2:$C$10,"UNKNOWN_ITEM")</f>
        <v>4500</v>
      </c>
      <c r="J6" s="4">
        <v>3</v>
      </c>
      <c r="K6" s="4">
        <v>13500</v>
      </c>
      <c r="L6" s="4">
        <f>I6*J6</f>
        <v>13500</v>
      </c>
      <c r="M6" s="4" t="s">
        <v>38</v>
      </c>
      <c r="O6" s="7" t="s">
        <v>97</v>
      </c>
      <c r="P6" s="7">
        <f>MAX(K2:K64)</f>
        <v>15600</v>
      </c>
    </row>
    <row r="7" spans="1:16">
      <c r="A7" s="4">
        <v>1040</v>
      </c>
      <c r="B7" s="4" t="s">
        <v>52</v>
      </c>
      <c r="C7" s="4" t="s">
        <v>98</v>
      </c>
      <c r="D7" s="4" t="s">
        <v>54</v>
      </c>
      <c r="E7" s="4" t="s">
        <v>47</v>
      </c>
      <c r="F7" s="4" t="s">
        <v>48</v>
      </c>
      <c r="G7" s="4" t="s">
        <v>27</v>
      </c>
      <c r="H7" s="4" t="str">
        <f>VLOOKUP(G7,products!$A$2:$C$10,2,FALSE)</f>
        <v>Electronics</v>
      </c>
      <c r="I7" s="4">
        <f>_xlfn.XLOOKUP(G7,products!$A$2:$A$10,products!$C$2:$C$10,"UNKNOWN_ITEM")</f>
        <v>4500</v>
      </c>
      <c r="J7" s="4">
        <v>3</v>
      </c>
      <c r="K7" s="4">
        <v>13500</v>
      </c>
      <c r="L7" s="4">
        <f>I7*J7</f>
        <v>13500</v>
      </c>
      <c r="M7" s="4" t="s">
        <v>38</v>
      </c>
    </row>
    <row r="8" spans="1:16">
      <c r="A8" s="4">
        <v>1021</v>
      </c>
      <c r="B8" s="4" t="s">
        <v>15</v>
      </c>
      <c r="C8" s="4" t="s">
        <v>57</v>
      </c>
      <c r="D8" s="4" t="s">
        <v>58</v>
      </c>
      <c r="E8" s="4" t="s">
        <v>47</v>
      </c>
      <c r="F8" s="4" t="s">
        <v>48</v>
      </c>
      <c r="G8" s="4" t="s">
        <v>30</v>
      </c>
      <c r="H8" s="4" t="str">
        <f>VLOOKUP(G8,products!$A$2:$C$10,2,FALSE)</f>
        <v>Home</v>
      </c>
      <c r="I8" s="4">
        <f>_xlfn.XLOOKUP(G8,products!$A$2:$A$10,products!$C$2:$C$10,"UNKNOWN_ITEM")</f>
        <v>5200</v>
      </c>
      <c r="J8" s="4">
        <v>2</v>
      </c>
      <c r="K8" s="4">
        <v>10400</v>
      </c>
      <c r="L8" s="4">
        <f>I8*J8</f>
        <v>10400</v>
      </c>
      <c r="M8" s="4" t="s">
        <v>38</v>
      </c>
    </row>
    <row r="9" spans="1:16">
      <c r="A9" s="4">
        <v>1022</v>
      </c>
      <c r="B9" s="4" t="s">
        <v>15</v>
      </c>
      <c r="C9" s="4" t="s">
        <v>95</v>
      </c>
      <c r="D9" s="4" t="s">
        <v>96</v>
      </c>
      <c r="E9" s="4" t="s">
        <v>47</v>
      </c>
      <c r="F9" s="4" t="s">
        <v>48</v>
      </c>
      <c r="G9" s="4" t="s">
        <v>30</v>
      </c>
      <c r="H9" s="4" t="str">
        <f>VLOOKUP(G9,products!$A$2:$C$10,2,FALSE)</f>
        <v>Home</v>
      </c>
      <c r="I9" s="4">
        <f>_xlfn.XLOOKUP(G9,products!$A$2:$A$10,products!$C$2:$C$10,"UNKNOWN_ITEM")</f>
        <v>5200</v>
      </c>
      <c r="J9" s="4">
        <v>2</v>
      </c>
      <c r="K9" s="4">
        <v>10400</v>
      </c>
      <c r="L9" s="4">
        <f>I9*J9</f>
        <v>10400</v>
      </c>
      <c r="M9" s="4" t="s">
        <v>38</v>
      </c>
    </row>
    <row r="10" spans="1:16">
      <c r="A10" s="4">
        <v>1083</v>
      </c>
      <c r="B10" s="4" t="s">
        <v>37</v>
      </c>
      <c r="C10" s="4" t="s">
        <v>28</v>
      </c>
      <c r="D10" s="4" t="s">
        <v>29</v>
      </c>
      <c r="E10" s="4" t="s">
        <v>18</v>
      </c>
      <c r="F10" s="4" t="s">
        <v>19</v>
      </c>
      <c r="G10" s="4" t="s">
        <v>30</v>
      </c>
      <c r="H10" s="4" t="str">
        <f>VLOOKUP(G10,products!$A$2:$C$10,2,FALSE)</f>
        <v>Home</v>
      </c>
      <c r="I10" s="4">
        <f>_xlfn.XLOOKUP(G10,products!$A$2:$A$10,products!$C$2:$C$10,"UNKNOWN_ITEM")</f>
        <v>5200</v>
      </c>
      <c r="J10" s="4">
        <v>2</v>
      </c>
      <c r="K10" s="4">
        <v>10400</v>
      </c>
      <c r="L10" s="4">
        <f>I10*J10</f>
        <v>10400</v>
      </c>
      <c r="M10" s="4" t="s">
        <v>38</v>
      </c>
    </row>
    <row r="11" spans="1:16">
      <c r="A11" s="4">
        <v>1054</v>
      </c>
      <c r="B11" s="4" t="s">
        <v>52</v>
      </c>
      <c r="C11" s="4" t="s">
        <v>57</v>
      </c>
      <c r="D11" s="4" t="s">
        <v>58</v>
      </c>
      <c r="E11" s="4" t="s">
        <v>47</v>
      </c>
      <c r="F11" s="4" t="s">
        <v>48</v>
      </c>
      <c r="G11" s="4" t="s">
        <v>49</v>
      </c>
      <c r="H11" s="4" t="str">
        <f>VLOOKUP(G11,products!$A$2:$C$10,2,FALSE)</f>
        <v>Electronics</v>
      </c>
      <c r="I11" s="4">
        <f>_xlfn.XLOOKUP(G11,products!$A$2:$A$10,products!$C$2:$C$10,"UNKNOWN_ITEM")</f>
        <v>3200</v>
      </c>
      <c r="J11" s="4">
        <v>3</v>
      </c>
      <c r="K11" s="4">
        <v>9600</v>
      </c>
      <c r="L11" s="4">
        <f>I11*J11</f>
        <v>9600</v>
      </c>
      <c r="M11" s="4" t="s">
        <v>38</v>
      </c>
    </row>
    <row r="12" spans="1:16">
      <c r="A12" s="4">
        <v>1090</v>
      </c>
      <c r="B12" s="4" t="s">
        <v>37</v>
      </c>
      <c r="C12" s="4" t="s">
        <v>99</v>
      </c>
      <c r="D12" s="4" t="s">
        <v>100</v>
      </c>
      <c r="E12" s="4" t="s">
        <v>34</v>
      </c>
      <c r="F12" s="4" t="s">
        <v>35</v>
      </c>
      <c r="G12" s="4" t="s">
        <v>49</v>
      </c>
      <c r="H12" s="4" t="str">
        <f>VLOOKUP(G12,products!$A$2:$C$10,2,FALSE)</f>
        <v>Electronics</v>
      </c>
      <c r="I12" s="4">
        <f>_xlfn.XLOOKUP(G12,products!$A$2:$A$10,products!$C$2:$C$10,"UNKNOWN_ITEM")</f>
        <v>3200</v>
      </c>
      <c r="J12" s="4">
        <v>3</v>
      </c>
      <c r="K12" s="4">
        <v>9600</v>
      </c>
      <c r="L12" s="4">
        <f>I12*J12</f>
        <v>9600</v>
      </c>
      <c r="M12" s="4" t="s">
        <v>38</v>
      </c>
    </row>
    <row r="13" spans="1:16">
      <c r="A13" s="4">
        <v>1015</v>
      </c>
      <c r="B13" s="4" t="s">
        <v>15</v>
      </c>
      <c r="C13" s="4" t="s">
        <v>28</v>
      </c>
      <c r="D13" s="4" t="s">
        <v>29</v>
      </c>
      <c r="E13" s="4" t="s">
        <v>18</v>
      </c>
      <c r="F13" s="4" t="s">
        <v>19</v>
      </c>
      <c r="G13" s="4" t="s">
        <v>27</v>
      </c>
      <c r="H13" s="4" t="str">
        <f>VLOOKUP(G13,products!$A$2:$C$10,2,FALSE)</f>
        <v>Electronics</v>
      </c>
      <c r="I13" s="4">
        <f>_xlfn.XLOOKUP(G13,products!$A$2:$A$10,products!$C$2:$C$10,"UNKNOWN_ITEM")</f>
        <v>4500</v>
      </c>
      <c r="J13" s="4">
        <v>2</v>
      </c>
      <c r="K13" s="4">
        <v>9000</v>
      </c>
      <c r="L13" s="4">
        <f>I13*J13</f>
        <v>9000</v>
      </c>
      <c r="M13" s="4" t="s">
        <v>38</v>
      </c>
    </row>
    <row r="14" spans="1:16">
      <c r="A14" s="4">
        <v>1049</v>
      </c>
      <c r="B14" s="4" t="s">
        <v>52</v>
      </c>
      <c r="C14" s="4" t="s">
        <v>98</v>
      </c>
      <c r="D14" s="4" t="s">
        <v>54</v>
      </c>
      <c r="E14" s="4" t="s">
        <v>47</v>
      </c>
      <c r="F14" s="4" t="s">
        <v>48</v>
      </c>
      <c r="G14" s="4" t="s">
        <v>27</v>
      </c>
      <c r="H14" s="4" t="str">
        <f>VLOOKUP(G14,products!$A$2:$C$10,2,FALSE)</f>
        <v>Electronics</v>
      </c>
      <c r="I14" s="4">
        <f>_xlfn.XLOOKUP(G14,products!$A$2:$A$10,products!$C$2:$C$10,"UNKNOWN_ITEM")</f>
        <v>4500</v>
      </c>
      <c r="J14" s="4">
        <v>2</v>
      </c>
      <c r="K14" s="4">
        <v>9000</v>
      </c>
      <c r="L14" s="4">
        <f>I14*J14</f>
        <v>9000</v>
      </c>
      <c r="M14" s="4" t="s">
        <v>38</v>
      </c>
    </row>
    <row r="15" spans="1:16">
      <c r="A15" s="4">
        <v>1016</v>
      </c>
      <c r="B15" s="4" t="s">
        <v>15</v>
      </c>
      <c r="C15" s="4" t="s">
        <v>61</v>
      </c>
      <c r="D15" s="4" t="s">
        <v>62</v>
      </c>
      <c r="E15" s="4" t="s">
        <v>25</v>
      </c>
      <c r="F15" s="4" t="s">
        <v>26</v>
      </c>
      <c r="G15" s="4" t="s">
        <v>63</v>
      </c>
      <c r="H15" s="4" t="str">
        <f>VLOOKUP(G15,products!$A$2:$C$10,2,FALSE)</f>
        <v>Apparel</v>
      </c>
      <c r="I15" s="4">
        <f>_xlfn.XLOOKUP(G15,products!$A$2:$A$10,products!$C$2:$C$10,"UNKNOWN_ITEM")</f>
        <v>2500</v>
      </c>
      <c r="J15" s="4">
        <v>3</v>
      </c>
      <c r="K15" s="4">
        <v>7500</v>
      </c>
      <c r="L15" s="4">
        <f>I15*J15</f>
        <v>7500</v>
      </c>
      <c r="M15" s="4" t="s">
        <v>38</v>
      </c>
    </row>
    <row r="16" spans="1:16">
      <c r="A16" s="4">
        <v>1019</v>
      </c>
      <c r="B16" s="4" t="s">
        <v>15</v>
      </c>
      <c r="C16" s="4" t="s">
        <v>95</v>
      </c>
      <c r="D16" s="4" t="s">
        <v>96</v>
      </c>
      <c r="E16" s="4" t="s">
        <v>47</v>
      </c>
      <c r="F16" s="4" t="s">
        <v>48</v>
      </c>
      <c r="G16" s="4" t="s">
        <v>64</v>
      </c>
      <c r="H16" s="4" t="str">
        <f>VLOOKUP(G16,products!$A$2:$C$10,2,FALSE)</f>
        <v>Apparel</v>
      </c>
      <c r="I16" s="4">
        <f>_xlfn.XLOOKUP(G16,products!$A$2:$A$10,products!$C$2:$C$10,"UNKNOWN_ITEM")</f>
        <v>3600</v>
      </c>
      <c r="J16" s="4">
        <v>2</v>
      </c>
      <c r="K16" s="4">
        <v>7200</v>
      </c>
      <c r="L16" s="4">
        <f>I16*J16</f>
        <v>7200</v>
      </c>
      <c r="M16" s="4" t="s">
        <v>38</v>
      </c>
    </row>
    <row r="17" spans="1:13">
      <c r="A17" s="4">
        <v>1034</v>
      </c>
      <c r="B17" s="4" t="s">
        <v>52</v>
      </c>
      <c r="C17" s="4" t="s">
        <v>65</v>
      </c>
      <c r="D17" s="4" t="s">
        <v>66</v>
      </c>
      <c r="E17" s="4" t="s">
        <v>25</v>
      </c>
      <c r="F17" s="4" t="s">
        <v>26</v>
      </c>
      <c r="G17" s="4" t="s">
        <v>64</v>
      </c>
      <c r="H17" s="4" t="str">
        <f>VLOOKUP(G17,products!$A$2:$C$10,2,FALSE)</f>
        <v>Apparel</v>
      </c>
      <c r="I17" s="4">
        <f>_xlfn.XLOOKUP(G17,products!$A$2:$A$10,products!$C$2:$C$10,"UNKNOWN_ITEM")</f>
        <v>3600</v>
      </c>
      <c r="J17" s="4">
        <v>2</v>
      </c>
      <c r="K17" s="4">
        <v>7200</v>
      </c>
      <c r="L17" s="4">
        <f>I17*J17</f>
        <v>7200</v>
      </c>
      <c r="M17" s="4" t="s">
        <v>38</v>
      </c>
    </row>
    <row r="18" spans="1:13">
      <c r="A18" s="4">
        <v>1074</v>
      </c>
      <c r="B18" s="4" t="s">
        <v>37</v>
      </c>
      <c r="C18" s="4" t="s">
        <v>23</v>
      </c>
      <c r="D18" s="4" t="s">
        <v>24</v>
      </c>
      <c r="E18" s="4" t="s">
        <v>25</v>
      </c>
      <c r="F18" s="4" t="s">
        <v>26</v>
      </c>
      <c r="G18" s="4" t="s">
        <v>64</v>
      </c>
      <c r="H18" s="4" t="str">
        <f>VLOOKUP(G18,products!$A$2:$C$10,2,FALSE)</f>
        <v>Apparel</v>
      </c>
      <c r="I18" s="4">
        <f>_xlfn.XLOOKUP(G18,products!$A$2:$A$10,products!$C$2:$C$10,"UNKNOWN_ITEM")</f>
        <v>3600</v>
      </c>
      <c r="J18" s="4">
        <v>2</v>
      </c>
      <c r="K18" s="4">
        <v>7200</v>
      </c>
      <c r="L18" s="4">
        <f>I18*J18</f>
        <v>7200</v>
      </c>
      <c r="M18" s="4" t="s">
        <v>38</v>
      </c>
    </row>
    <row r="19" spans="1:13">
      <c r="A19" s="4">
        <v>1086</v>
      </c>
      <c r="B19" s="4" t="s">
        <v>37</v>
      </c>
      <c r="C19" s="4" t="s">
        <v>57</v>
      </c>
      <c r="D19" s="4" t="s">
        <v>58</v>
      </c>
      <c r="E19" s="4" t="s">
        <v>47</v>
      </c>
      <c r="F19" s="4" t="s">
        <v>48</v>
      </c>
      <c r="G19" s="4" t="s">
        <v>64</v>
      </c>
      <c r="H19" s="4" t="str">
        <f>VLOOKUP(G19,products!$A$2:$C$10,2,FALSE)</f>
        <v>Apparel</v>
      </c>
      <c r="I19" s="4">
        <f>_xlfn.XLOOKUP(G19,products!$A$2:$A$10,products!$C$2:$C$10,"UNKNOWN_ITEM")</f>
        <v>3600</v>
      </c>
      <c r="J19" s="4">
        <v>2</v>
      </c>
      <c r="K19" s="4">
        <v>7200</v>
      </c>
      <c r="L19" s="4">
        <f>I19*J19</f>
        <v>7200</v>
      </c>
      <c r="M19" s="4" t="s">
        <v>38</v>
      </c>
    </row>
    <row r="20" spans="1:13">
      <c r="A20" s="4">
        <v>1008</v>
      </c>
      <c r="B20" s="4" t="s">
        <v>15</v>
      </c>
      <c r="C20" s="4" t="s">
        <v>67</v>
      </c>
      <c r="D20" s="4" t="s">
        <v>68</v>
      </c>
      <c r="E20" s="4" t="s">
        <v>25</v>
      </c>
      <c r="F20" s="4" t="s">
        <v>26</v>
      </c>
      <c r="G20" s="4" t="s">
        <v>49</v>
      </c>
      <c r="H20" s="4" t="str">
        <f>VLOOKUP(G20,products!$A$2:$C$10,2,FALSE)</f>
        <v>Electronics</v>
      </c>
      <c r="I20" s="4">
        <f>_xlfn.XLOOKUP(G20,products!$A$2:$A$10,products!$C$2:$C$10,"UNKNOWN_ITEM")</f>
        <v>3200</v>
      </c>
      <c r="J20" s="4">
        <v>2</v>
      </c>
      <c r="K20" s="4">
        <v>6400</v>
      </c>
      <c r="L20" s="4">
        <f>I20*J20</f>
        <v>6400</v>
      </c>
      <c r="M20" s="4" t="s">
        <v>38</v>
      </c>
    </row>
    <row r="21" spans="1:13">
      <c r="A21" s="4">
        <v>1020</v>
      </c>
      <c r="B21" s="4" t="s">
        <v>15</v>
      </c>
      <c r="C21" s="4" t="s">
        <v>39</v>
      </c>
      <c r="D21" s="4" t="s">
        <v>40</v>
      </c>
      <c r="E21" s="4" t="s">
        <v>18</v>
      </c>
      <c r="F21" s="4" t="s">
        <v>19</v>
      </c>
      <c r="G21" s="4" t="s">
        <v>49</v>
      </c>
      <c r="H21" s="4" t="str">
        <f>VLOOKUP(G21,products!$A$2:$C$10,2,FALSE)</f>
        <v>Electronics</v>
      </c>
      <c r="I21" s="4">
        <f>_xlfn.XLOOKUP(G21,products!$A$2:$A$10,products!$C$2:$C$10,"UNKNOWN_ITEM")</f>
        <v>3200</v>
      </c>
      <c r="J21" s="4">
        <v>2</v>
      </c>
      <c r="K21" s="4">
        <v>6400</v>
      </c>
      <c r="L21" s="4">
        <f>I21*J21</f>
        <v>6400</v>
      </c>
      <c r="M21" s="4" t="s">
        <v>38</v>
      </c>
    </row>
    <row r="22" spans="1:13">
      <c r="A22" s="4">
        <v>1062</v>
      </c>
      <c r="B22" s="4" t="s">
        <v>37</v>
      </c>
      <c r="C22" s="4" t="s">
        <v>101</v>
      </c>
      <c r="D22" s="4" t="s">
        <v>51</v>
      </c>
      <c r="E22" s="4" t="s">
        <v>25</v>
      </c>
      <c r="F22" s="4" t="s">
        <v>26</v>
      </c>
      <c r="G22" s="4" t="s">
        <v>49</v>
      </c>
      <c r="H22" s="4" t="str">
        <f>VLOOKUP(G22,products!$A$2:$C$10,2,FALSE)</f>
        <v>Electronics</v>
      </c>
      <c r="I22" s="4">
        <f>_xlfn.XLOOKUP(G22,products!$A$2:$A$10,products!$C$2:$C$10,"UNKNOWN_ITEM")</f>
        <v>3200</v>
      </c>
      <c r="J22" s="4">
        <v>2</v>
      </c>
      <c r="K22" s="4">
        <v>6400</v>
      </c>
      <c r="L22" s="4">
        <f>I22*J22</f>
        <v>6400</v>
      </c>
      <c r="M22" s="4" t="s">
        <v>38</v>
      </c>
    </row>
    <row r="23" spans="1:13">
      <c r="A23" s="4">
        <v>1081</v>
      </c>
      <c r="B23" s="4" t="s">
        <v>37</v>
      </c>
      <c r="C23" s="4" t="s">
        <v>95</v>
      </c>
      <c r="D23" s="4" t="s">
        <v>96</v>
      </c>
      <c r="E23" s="4" t="s">
        <v>47</v>
      </c>
      <c r="F23" s="4" t="s">
        <v>48</v>
      </c>
      <c r="G23" s="4" t="s">
        <v>49</v>
      </c>
      <c r="H23" s="4" t="str">
        <f>VLOOKUP(G23,products!$A$2:$C$10,2,FALSE)</f>
        <v>Electronics</v>
      </c>
      <c r="I23" s="4">
        <f>_xlfn.XLOOKUP(G23,products!$A$2:$A$10,products!$C$2:$C$10,"UNKNOWN_ITEM")</f>
        <v>3200</v>
      </c>
      <c r="J23" s="4">
        <v>2</v>
      </c>
      <c r="K23" s="4">
        <v>6400</v>
      </c>
      <c r="L23" s="4">
        <f>I23*J23</f>
        <v>6400</v>
      </c>
      <c r="M23" s="4" t="s">
        <v>38</v>
      </c>
    </row>
    <row r="24" spans="1:13">
      <c r="A24" s="4">
        <v>1059</v>
      </c>
      <c r="B24" s="4" t="s">
        <v>37</v>
      </c>
      <c r="C24" s="4" t="s">
        <v>69</v>
      </c>
      <c r="D24" s="4" t="s">
        <v>102</v>
      </c>
      <c r="E24" s="4" t="s">
        <v>18</v>
      </c>
      <c r="F24" s="4" t="s">
        <v>19</v>
      </c>
      <c r="G24" s="4" t="s">
        <v>20</v>
      </c>
      <c r="H24" s="4" t="str">
        <f>VLOOKUP(G24,products!$A$2:$C$10,2,FALSE)</f>
        <v>Electronics</v>
      </c>
      <c r="I24" s="4">
        <f>_xlfn.XLOOKUP(G24,products!$A$2:$A$10,products!$C$2:$C$10,"UNKNOWN_ITEM")</f>
        <v>2800</v>
      </c>
      <c r="J24" s="4">
        <v>2</v>
      </c>
      <c r="K24" s="4">
        <v>5600</v>
      </c>
      <c r="L24" s="4">
        <f>I24*J24</f>
        <v>5600</v>
      </c>
      <c r="M24" s="4" t="s">
        <v>38</v>
      </c>
    </row>
    <row r="25" spans="1:13">
      <c r="A25" s="4">
        <v>1053</v>
      </c>
      <c r="B25" s="4" t="s">
        <v>52</v>
      </c>
      <c r="C25" s="4" t="s">
        <v>39</v>
      </c>
      <c r="D25" s="4" t="s">
        <v>40</v>
      </c>
      <c r="E25" s="4" t="s">
        <v>18</v>
      </c>
      <c r="F25" s="4" t="s">
        <v>19</v>
      </c>
      <c r="G25" s="4" t="s">
        <v>30</v>
      </c>
      <c r="H25" s="4" t="str">
        <f>VLOOKUP(G25,products!$A$2:$C$10,2,FALSE)</f>
        <v>Home</v>
      </c>
      <c r="I25" s="4">
        <f>_xlfn.XLOOKUP(G25,products!$A$2:$A$10,products!$C$2:$C$10,"UNKNOWN_ITEM")</f>
        <v>5200</v>
      </c>
      <c r="J25" s="4">
        <v>1</v>
      </c>
      <c r="K25" s="4">
        <v>5200</v>
      </c>
      <c r="L25" s="4">
        <f>I25*J25</f>
        <v>5200</v>
      </c>
      <c r="M25" s="4" t="s">
        <v>38</v>
      </c>
    </row>
    <row r="26" spans="1:13">
      <c r="A26" s="4">
        <v>1067</v>
      </c>
      <c r="B26" s="4" t="s">
        <v>37</v>
      </c>
      <c r="C26" s="4" t="s">
        <v>69</v>
      </c>
      <c r="D26" s="4" t="s">
        <v>102</v>
      </c>
      <c r="E26" s="4" t="s">
        <v>18</v>
      </c>
      <c r="F26" s="4" t="s">
        <v>19</v>
      </c>
      <c r="G26" s="4" t="s">
        <v>30</v>
      </c>
      <c r="H26" s="4" t="str">
        <f>VLOOKUP(G26,products!$A$2:$C$10,2,FALSE)</f>
        <v>Home</v>
      </c>
      <c r="I26" s="4">
        <f>_xlfn.XLOOKUP(G26,products!$A$2:$A$10,products!$C$2:$C$10,"UNKNOWN_ITEM")</f>
        <v>5200</v>
      </c>
      <c r="J26" s="4">
        <v>1</v>
      </c>
      <c r="K26" s="4">
        <v>5200</v>
      </c>
      <c r="L26" s="4">
        <f>I26*J26</f>
        <v>5200</v>
      </c>
      <c r="M26" s="4" t="s">
        <v>38</v>
      </c>
    </row>
    <row r="27" spans="1:13">
      <c r="A27" s="4">
        <v>1029</v>
      </c>
      <c r="B27" s="4" t="s">
        <v>52</v>
      </c>
      <c r="C27" s="4" t="s">
        <v>90</v>
      </c>
      <c r="D27" s="4" t="s">
        <v>42</v>
      </c>
      <c r="E27" s="4" t="s">
        <v>34</v>
      </c>
      <c r="F27" s="4" t="s">
        <v>35</v>
      </c>
      <c r="G27" s="4" t="s">
        <v>63</v>
      </c>
      <c r="H27" s="4" t="str">
        <f>VLOOKUP(G27,products!$A$2:$C$10,2,FALSE)</f>
        <v>Apparel</v>
      </c>
      <c r="I27" s="4">
        <f>_xlfn.XLOOKUP(G27,products!$A$2:$A$10,products!$C$2:$C$10,"UNKNOWN_ITEM")</f>
        <v>2500</v>
      </c>
      <c r="J27" s="4">
        <v>2</v>
      </c>
      <c r="K27" s="4">
        <v>5000</v>
      </c>
      <c r="L27" s="4">
        <f>I27*J27</f>
        <v>5000</v>
      </c>
      <c r="M27" s="4" t="s">
        <v>38</v>
      </c>
    </row>
    <row r="28" spans="1:13">
      <c r="A28" s="4">
        <v>1030</v>
      </c>
      <c r="B28" s="4" t="s">
        <v>52</v>
      </c>
      <c r="C28" s="4" t="s">
        <v>28</v>
      </c>
      <c r="D28" s="4" t="s">
        <v>29</v>
      </c>
      <c r="E28" s="4" t="s">
        <v>18</v>
      </c>
      <c r="F28" s="4" t="s">
        <v>19</v>
      </c>
      <c r="G28" s="4" t="s">
        <v>63</v>
      </c>
      <c r="H28" s="4" t="str">
        <f>VLOOKUP(G28,products!$A$2:$C$10,2,FALSE)</f>
        <v>Apparel</v>
      </c>
      <c r="I28" s="4">
        <f>_xlfn.XLOOKUP(G28,products!$A$2:$A$10,products!$C$2:$C$10,"UNKNOWN_ITEM")</f>
        <v>2500</v>
      </c>
      <c r="J28" s="4">
        <v>2</v>
      </c>
      <c r="K28" s="4">
        <v>5000</v>
      </c>
      <c r="L28" s="4">
        <f>I28*J28</f>
        <v>5000</v>
      </c>
      <c r="M28" s="4" t="s">
        <v>38</v>
      </c>
    </row>
    <row r="29" spans="1:13">
      <c r="A29" s="4">
        <v>1014</v>
      </c>
      <c r="B29" s="4" t="s">
        <v>15</v>
      </c>
      <c r="C29" s="4" t="s">
        <v>90</v>
      </c>
      <c r="D29" s="4" t="s">
        <v>42</v>
      </c>
      <c r="E29" s="4" t="s">
        <v>34</v>
      </c>
      <c r="F29" s="4" t="s">
        <v>35</v>
      </c>
      <c r="G29" s="4" t="s">
        <v>27</v>
      </c>
      <c r="H29" s="4" t="str">
        <f>VLOOKUP(G29,products!$A$2:$C$10,2,FALSE)</f>
        <v>Electronics</v>
      </c>
      <c r="I29" s="4">
        <f>_xlfn.XLOOKUP(G29,products!$A$2:$A$10,products!$C$2:$C$10,"UNKNOWN_ITEM")</f>
        <v>4500</v>
      </c>
      <c r="J29" s="4">
        <v>1</v>
      </c>
      <c r="K29" s="4">
        <v>4500</v>
      </c>
      <c r="L29" s="4">
        <f>I29*J29</f>
        <v>4500</v>
      </c>
      <c r="M29" s="4" t="s">
        <v>38</v>
      </c>
    </row>
    <row r="30" spans="1:13">
      <c r="A30" s="4">
        <v>1027</v>
      </c>
      <c r="B30" s="4" t="s">
        <v>52</v>
      </c>
      <c r="C30" s="4" t="s">
        <v>98</v>
      </c>
      <c r="D30" s="4" t="s">
        <v>54</v>
      </c>
      <c r="E30" s="4" t="s">
        <v>47</v>
      </c>
      <c r="F30" s="4" t="s">
        <v>48</v>
      </c>
      <c r="G30" s="4" t="s">
        <v>27</v>
      </c>
      <c r="H30" s="4" t="str">
        <f>VLOOKUP(G30,products!$A$2:$C$10,2,FALSE)</f>
        <v>Electronics</v>
      </c>
      <c r="I30" s="4">
        <f>_xlfn.XLOOKUP(G30,products!$A$2:$A$10,products!$C$2:$C$10,"UNKNOWN_ITEM")</f>
        <v>4500</v>
      </c>
      <c r="J30" s="4">
        <v>1</v>
      </c>
      <c r="K30" s="4">
        <v>4500</v>
      </c>
      <c r="L30" s="4">
        <f>I30*J30</f>
        <v>4500</v>
      </c>
      <c r="M30" s="4" t="s">
        <v>38</v>
      </c>
    </row>
    <row r="31" spans="1:13">
      <c r="A31" s="4">
        <v>1055</v>
      </c>
      <c r="B31" s="4" t="s">
        <v>52</v>
      </c>
      <c r="C31" s="4" t="s">
        <v>71</v>
      </c>
      <c r="D31" s="4" t="s">
        <v>72</v>
      </c>
      <c r="E31" s="4" t="s">
        <v>18</v>
      </c>
      <c r="F31" s="4" t="s">
        <v>19</v>
      </c>
      <c r="G31" s="4" t="s">
        <v>27</v>
      </c>
      <c r="H31" s="4" t="str">
        <f>VLOOKUP(G31,products!$A$2:$C$10,2,FALSE)</f>
        <v>Electronics</v>
      </c>
      <c r="I31" s="4">
        <f>_xlfn.XLOOKUP(G31,products!$A$2:$A$10,products!$C$2:$C$10,"UNKNOWN_ITEM")</f>
        <v>4500</v>
      </c>
      <c r="J31" s="4">
        <v>1</v>
      </c>
      <c r="K31" s="4">
        <v>4500</v>
      </c>
      <c r="L31" s="4">
        <f>I31*J31</f>
        <v>4500</v>
      </c>
      <c r="M31" s="4" t="s">
        <v>38</v>
      </c>
    </row>
    <row r="32" spans="1:13">
      <c r="A32" s="4">
        <v>1073</v>
      </c>
      <c r="B32" s="4" t="s">
        <v>37</v>
      </c>
      <c r="C32" s="4" t="s">
        <v>55</v>
      </c>
      <c r="D32" s="4" t="s">
        <v>56</v>
      </c>
      <c r="E32" s="4" t="s">
        <v>34</v>
      </c>
      <c r="F32" s="4" t="s">
        <v>35</v>
      </c>
      <c r="G32" s="4" t="s">
        <v>27</v>
      </c>
      <c r="H32" s="4" t="str">
        <f>VLOOKUP(G32,products!$A$2:$C$10,2,FALSE)</f>
        <v>Electronics</v>
      </c>
      <c r="I32" s="4">
        <f>_xlfn.XLOOKUP(G32,products!$A$2:$A$10,products!$C$2:$C$10,"UNKNOWN_ITEM")</f>
        <v>4500</v>
      </c>
      <c r="J32" s="4">
        <v>1</v>
      </c>
      <c r="K32" s="4">
        <v>4500</v>
      </c>
      <c r="L32" s="4">
        <f>I32*J32</f>
        <v>4500</v>
      </c>
      <c r="M32" s="4" t="s">
        <v>38</v>
      </c>
    </row>
    <row r="33" spans="1:13">
      <c r="A33" s="4">
        <v>1087</v>
      </c>
      <c r="B33" s="4" t="s">
        <v>37</v>
      </c>
      <c r="C33" s="4" t="s">
        <v>57</v>
      </c>
      <c r="D33" s="4" t="s">
        <v>58</v>
      </c>
      <c r="E33" s="4" t="s">
        <v>47</v>
      </c>
      <c r="F33" s="4" t="s">
        <v>48</v>
      </c>
      <c r="G33" s="4" t="s">
        <v>27</v>
      </c>
      <c r="H33" s="4" t="str">
        <f>VLOOKUP(G33,products!$A$2:$C$10,2,FALSE)</f>
        <v>Electronics</v>
      </c>
      <c r="I33" s="4">
        <f>_xlfn.XLOOKUP(G33,products!$A$2:$A$10,products!$C$2:$C$10,"UNKNOWN_ITEM")</f>
        <v>4500</v>
      </c>
      <c r="J33" s="4">
        <v>1</v>
      </c>
      <c r="K33" s="4">
        <v>4500</v>
      </c>
      <c r="L33" s="4">
        <f>I33*J33</f>
        <v>4500</v>
      </c>
      <c r="M33" s="4" t="s">
        <v>38</v>
      </c>
    </row>
    <row r="34" spans="1:13">
      <c r="A34" s="4">
        <v>1045</v>
      </c>
      <c r="B34" s="4" t="s">
        <v>52</v>
      </c>
      <c r="C34" s="4" t="s">
        <v>23</v>
      </c>
      <c r="D34" s="4" t="s">
        <v>24</v>
      </c>
      <c r="E34" s="4" t="s">
        <v>25</v>
      </c>
      <c r="F34" s="4" t="s">
        <v>26</v>
      </c>
      <c r="G34" s="4" t="s">
        <v>36</v>
      </c>
      <c r="H34" s="4" t="str">
        <f>VLOOKUP(G34,products!$A$2:$C$10,2,FALSE)</f>
        <v>Apparel</v>
      </c>
      <c r="I34" s="4">
        <f>_xlfn.XLOOKUP(G34,products!$A$2:$A$10,products!$C$2:$C$10,"UNKNOWN_ITEM")</f>
        <v>1400</v>
      </c>
      <c r="J34" s="4">
        <v>3</v>
      </c>
      <c r="K34" s="4">
        <v>4200</v>
      </c>
      <c r="L34" s="4">
        <f>I34*J34</f>
        <v>4200</v>
      </c>
      <c r="M34" s="4" t="s">
        <v>38</v>
      </c>
    </row>
    <row r="35" spans="1:13">
      <c r="A35" s="4">
        <v>1018</v>
      </c>
      <c r="B35" s="4" t="s">
        <v>15</v>
      </c>
      <c r="C35" s="4" t="s">
        <v>57</v>
      </c>
      <c r="D35" s="4" t="s">
        <v>58</v>
      </c>
      <c r="E35" s="4" t="s">
        <v>47</v>
      </c>
      <c r="F35" s="4" t="s">
        <v>48</v>
      </c>
      <c r="G35" s="4" t="s">
        <v>73</v>
      </c>
      <c r="H35" s="4" t="str">
        <f>VLOOKUP(G35,products!$A$2:$C$10,2,FALSE)</f>
        <v>Home</v>
      </c>
      <c r="I35" s="4">
        <f>_xlfn.XLOOKUP(G35,products!$A$2:$A$10,products!$C$2:$C$10,"UNKNOWN_ITEM")</f>
        <v>1900</v>
      </c>
      <c r="J35" s="4">
        <v>2</v>
      </c>
      <c r="K35" s="4">
        <v>3800</v>
      </c>
      <c r="L35" s="4">
        <f>I35*J35</f>
        <v>3800</v>
      </c>
      <c r="M35" s="4" t="s">
        <v>38</v>
      </c>
    </row>
    <row r="36" spans="1:13">
      <c r="A36" s="4">
        <v>1012</v>
      </c>
      <c r="B36" s="4" t="s">
        <v>15</v>
      </c>
      <c r="C36" s="4" t="s">
        <v>67</v>
      </c>
      <c r="D36" s="4" t="s">
        <v>68</v>
      </c>
      <c r="E36" s="4" t="s">
        <v>25</v>
      </c>
      <c r="F36" s="4" t="s">
        <v>26</v>
      </c>
      <c r="G36" s="4" t="s">
        <v>64</v>
      </c>
      <c r="H36" s="4" t="str">
        <f>VLOOKUP(G36,products!$A$2:$C$10,2,FALSE)</f>
        <v>Apparel</v>
      </c>
      <c r="I36" s="4">
        <f>_xlfn.XLOOKUP(G36,products!$A$2:$A$10,products!$C$2:$C$10,"UNKNOWN_ITEM")</f>
        <v>3600</v>
      </c>
      <c r="J36" s="4">
        <v>1</v>
      </c>
      <c r="K36" s="4">
        <v>3600</v>
      </c>
      <c r="L36" s="4">
        <f>I36*J36</f>
        <v>3600</v>
      </c>
      <c r="M36" s="4" t="s">
        <v>38</v>
      </c>
    </row>
    <row r="37" spans="1:13">
      <c r="A37" s="4">
        <v>1023</v>
      </c>
      <c r="B37" s="4" t="s">
        <v>15</v>
      </c>
      <c r="C37" s="4" t="s">
        <v>57</v>
      </c>
      <c r="D37" s="4" t="s">
        <v>58</v>
      </c>
      <c r="E37" s="4" t="s">
        <v>47</v>
      </c>
      <c r="F37" s="4" t="s">
        <v>48</v>
      </c>
      <c r="G37" s="4" t="s">
        <v>64</v>
      </c>
      <c r="H37" s="4" t="str">
        <f>VLOOKUP(G37,products!$A$2:$C$10,2,FALSE)</f>
        <v>Apparel</v>
      </c>
      <c r="I37" s="4">
        <f>_xlfn.XLOOKUP(G37,products!$A$2:$A$10,products!$C$2:$C$10,"UNKNOWN_ITEM")</f>
        <v>3600</v>
      </c>
      <c r="J37" s="4">
        <v>1</v>
      </c>
      <c r="K37" s="4">
        <v>3600</v>
      </c>
      <c r="L37" s="4">
        <f>I37*J37</f>
        <v>3600</v>
      </c>
      <c r="M37" s="4" t="s">
        <v>38</v>
      </c>
    </row>
    <row r="38" spans="1:13">
      <c r="A38" s="4">
        <v>1050</v>
      </c>
      <c r="B38" s="4" t="s">
        <v>52</v>
      </c>
      <c r="C38" s="4" t="s">
        <v>61</v>
      </c>
      <c r="D38" s="4" t="s">
        <v>62</v>
      </c>
      <c r="E38" s="4" t="s">
        <v>25</v>
      </c>
      <c r="F38" s="4" t="s">
        <v>26</v>
      </c>
      <c r="G38" s="4" t="s">
        <v>64</v>
      </c>
      <c r="H38" s="4" t="str">
        <f>VLOOKUP(G38,products!$A$2:$C$10,2,FALSE)</f>
        <v>Apparel</v>
      </c>
      <c r="I38" s="4">
        <f>_xlfn.XLOOKUP(G38,products!$A$2:$A$10,products!$C$2:$C$10,"UNKNOWN_ITEM")</f>
        <v>3600</v>
      </c>
      <c r="J38" s="4">
        <v>1</v>
      </c>
      <c r="K38" s="4">
        <v>3600</v>
      </c>
      <c r="L38" s="4">
        <f>I38*J38</f>
        <v>3600</v>
      </c>
      <c r="M38" s="4" t="s">
        <v>38</v>
      </c>
    </row>
    <row r="39" spans="1:13">
      <c r="A39" s="4">
        <v>1084</v>
      </c>
      <c r="B39" s="4" t="s">
        <v>37</v>
      </c>
      <c r="C39" s="4" t="s">
        <v>28</v>
      </c>
      <c r="D39" s="4" t="s">
        <v>29</v>
      </c>
      <c r="E39" s="4" t="s">
        <v>18</v>
      </c>
      <c r="F39" s="4" t="s">
        <v>19</v>
      </c>
      <c r="G39" s="4" t="s">
        <v>64</v>
      </c>
      <c r="H39" s="4" t="str">
        <f>VLOOKUP(G39,products!$A$2:$C$10,2,FALSE)</f>
        <v>Apparel</v>
      </c>
      <c r="I39" s="4">
        <f>_xlfn.XLOOKUP(G39,products!$A$2:$A$10,products!$C$2:$C$10,"UNKNOWN_ITEM")</f>
        <v>3600</v>
      </c>
      <c r="J39" s="4">
        <v>1</v>
      </c>
      <c r="K39" s="4">
        <v>3600</v>
      </c>
      <c r="L39" s="4">
        <f>I39*J39</f>
        <v>3600</v>
      </c>
      <c r="M39" s="4" t="s">
        <v>38</v>
      </c>
    </row>
    <row r="40" spans="1:13">
      <c r="A40" s="4">
        <v>1017</v>
      </c>
      <c r="B40" s="4" t="s">
        <v>15</v>
      </c>
      <c r="C40" s="4" t="s">
        <v>95</v>
      </c>
      <c r="D40" s="4" t="s">
        <v>96</v>
      </c>
      <c r="E40" s="4" t="s">
        <v>47</v>
      </c>
      <c r="F40" s="4" t="s">
        <v>48</v>
      </c>
      <c r="G40" s="4" t="s">
        <v>49</v>
      </c>
      <c r="H40" s="4" t="str">
        <f>VLOOKUP(G40,products!$A$2:$C$10,2,FALSE)</f>
        <v>Electronics</v>
      </c>
      <c r="I40" s="4">
        <f>_xlfn.XLOOKUP(G40,products!$A$2:$A$10,products!$C$2:$C$10,"UNKNOWN_ITEM")</f>
        <v>3200</v>
      </c>
      <c r="J40" s="4">
        <v>1</v>
      </c>
      <c r="K40" s="4">
        <v>3200</v>
      </c>
      <c r="L40" s="4">
        <f>I40*J40</f>
        <v>3200</v>
      </c>
      <c r="M40" s="4" t="s">
        <v>38</v>
      </c>
    </row>
    <row r="41" spans="1:13">
      <c r="A41" s="4">
        <v>1028</v>
      </c>
      <c r="B41" s="4" t="s">
        <v>52</v>
      </c>
      <c r="C41" s="4" t="s">
        <v>71</v>
      </c>
      <c r="D41" s="4" t="s">
        <v>72</v>
      </c>
      <c r="E41" s="4" t="s">
        <v>18</v>
      </c>
      <c r="F41" s="4" t="s">
        <v>19</v>
      </c>
      <c r="G41" s="4" t="s">
        <v>49</v>
      </c>
      <c r="H41" s="4" t="str">
        <f>VLOOKUP(G41,products!$A$2:$C$10,2,FALSE)</f>
        <v>Electronics</v>
      </c>
      <c r="I41" s="4">
        <f>_xlfn.XLOOKUP(G41,products!$A$2:$A$10,products!$C$2:$C$10,"UNKNOWN_ITEM")</f>
        <v>3200</v>
      </c>
      <c r="J41" s="4">
        <v>1</v>
      </c>
      <c r="K41" s="4">
        <v>3200</v>
      </c>
      <c r="L41" s="4">
        <f>I41*J41</f>
        <v>3200</v>
      </c>
      <c r="M41" s="4" t="s">
        <v>38</v>
      </c>
    </row>
    <row r="42" spans="1:13">
      <c r="A42" s="4">
        <v>1066</v>
      </c>
      <c r="B42" s="4" t="s">
        <v>37</v>
      </c>
      <c r="C42" s="4" t="s">
        <v>103</v>
      </c>
      <c r="D42" s="4" t="s">
        <v>104</v>
      </c>
      <c r="E42" s="4" t="s">
        <v>47</v>
      </c>
      <c r="F42" s="4" t="s">
        <v>48</v>
      </c>
      <c r="G42" s="4" t="s">
        <v>49</v>
      </c>
      <c r="H42" s="4" t="str">
        <f>VLOOKUP(G42,products!$A$2:$C$10,2,FALSE)</f>
        <v>Electronics</v>
      </c>
      <c r="I42" s="4">
        <f>_xlfn.XLOOKUP(G42,products!$A$2:$A$10,products!$C$2:$C$10,"UNKNOWN_ITEM")</f>
        <v>3200</v>
      </c>
      <c r="J42" s="4">
        <v>1</v>
      </c>
      <c r="K42" s="4">
        <v>3200</v>
      </c>
      <c r="L42" s="4">
        <f>I42*J42</f>
        <v>3200</v>
      </c>
      <c r="M42" s="4" t="s">
        <v>38</v>
      </c>
    </row>
    <row r="43" spans="1:13">
      <c r="A43" s="4">
        <v>1085</v>
      </c>
      <c r="B43" s="4" t="s">
        <v>37</v>
      </c>
      <c r="C43" s="4" t="s">
        <v>98</v>
      </c>
      <c r="D43" s="4" t="s">
        <v>54</v>
      </c>
      <c r="E43" s="4" t="s">
        <v>47</v>
      </c>
      <c r="F43" s="4" t="s">
        <v>48</v>
      </c>
      <c r="G43" s="4" t="s">
        <v>49</v>
      </c>
      <c r="H43" s="4" t="str">
        <f>VLOOKUP(G43,products!$A$2:$C$10,2,FALSE)</f>
        <v>Electronics</v>
      </c>
      <c r="I43" s="4">
        <f>_xlfn.XLOOKUP(G43,products!$A$2:$A$10,products!$C$2:$C$10,"UNKNOWN_ITEM")</f>
        <v>3200</v>
      </c>
      <c r="J43" s="4">
        <v>1</v>
      </c>
      <c r="K43" s="4">
        <v>3200</v>
      </c>
      <c r="L43" s="4">
        <f>I43*J43</f>
        <v>3200</v>
      </c>
      <c r="M43" s="4" t="s">
        <v>38</v>
      </c>
    </row>
    <row r="44" spans="1:13">
      <c r="A44" s="4">
        <v>1088</v>
      </c>
      <c r="B44" s="4" t="s">
        <v>37</v>
      </c>
      <c r="C44" s="4" t="s">
        <v>67</v>
      </c>
      <c r="D44" s="4" t="s">
        <v>68</v>
      </c>
      <c r="E44" s="4" t="s">
        <v>25</v>
      </c>
      <c r="F44" s="4" t="s">
        <v>26</v>
      </c>
      <c r="G44" s="4" t="s">
        <v>49</v>
      </c>
      <c r="H44" s="4" t="str">
        <f>VLOOKUP(G44,products!$A$2:$C$10,2,FALSE)</f>
        <v>Electronics</v>
      </c>
      <c r="I44" s="4">
        <f>_xlfn.XLOOKUP(G44,products!$A$2:$A$10,products!$C$2:$C$10,"UNKNOWN_ITEM")</f>
        <v>3200</v>
      </c>
      <c r="J44" s="4">
        <v>1</v>
      </c>
      <c r="K44" s="4">
        <v>3200</v>
      </c>
      <c r="L44" s="4">
        <f>I44*J44</f>
        <v>3200</v>
      </c>
      <c r="M44" s="4" t="s">
        <v>38</v>
      </c>
    </row>
    <row r="45" spans="1:13">
      <c r="A45" s="4">
        <v>1038</v>
      </c>
      <c r="B45" s="4" t="s">
        <v>52</v>
      </c>
      <c r="C45" s="4" t="s">
        <v>92</v>
      </c>
      <c r="D45" s="4" t="s">
        <v>93</v>
      </c>
      <c r="E45" s="4" t="s">
        <v>34</v>
      </c>
      <c r="F45" s="4" t="s">
        <v>35</v>
      </c>
      <c r="G45" s="4" t="s">
        <v>36</v>
      </c>
      <c r="H45" s="4" t="str">
        <f>VLOOKUP(G45,products!$A$2:$C$10,2,FALSE)</f>
        <v>Apparel</v>
      </c>
      <c r="I45" s="4">
        <f>_xlfn.XLOOKUP(G45,products!$A$2:$A$10,products!$C$2:$C$10,"UNKNOWN_ITEM")</f>
        <v>1400</v>
      </c>
      <c r="J45" s="4">
        <v>2</v>
      </c>
      <c r="K45" s="4">
        <v>2800</v>
      </c>
      <c r="L45" s="4">
        <f>I45*J45</f>
        <v>2800</v>
      </c>
      <c r="M45" s="4" t="s">
        <v>38</v>
      </c>
    </row>
    <row r="46" spans="1:13">
      <c r="A46" s="4">
        <v>1041</v>
      </c>
      <c r="B46" s="4" t="s">
        <v>52</v>
      </c>
      <c r="C46" s="4" t="s">
        <v>65</v>
      </c>
      <c r="D46" s="4" t="s">
        <v>66</v>
      </c>
      <c r="E46" s="4" t="s">
        <v>25</v>
      </c>
      <c r="F46" s="4" t="s">
        <v>26</v>
      </c>
      <c r="G46" s="4" t="s">
        <v>20</v>
      </c>
      <c r="H46" s="4" t="str">
        <f>VLOOKUP(G46,products!$A$2:$C$10,2,FALSE)</f>
        <v>Electronics</v>
      </c>
      <c r="I46" s="4">
        <f>_xlfn.XLOOKUP(G46,products!$A$2:$A$10,products!$C$2:$C$10,"UNKNOWN_ITEM")</f>
        <v>2800</v>
      </c>
      <c r="J46" s="4">
        <v>1</v>
      </c>
      <c r="K46" s="4">
        <v>2800</v>
      </c>
      <c r="L46" s="4">
        <f>I46*J46</f>
        <v>2800</v>
      </c>
      <c r="M46" s="4" t="s">
        <v>38</v>
      </c>
    </row>
    <row r="47" spans="1:13">
      <c r="A47" s="4">
        <v>1043</v>
      </c>
      <c r="B47" s="4" t="s">
        <v>52</v>
      </c>
      <c r="C47" s="4" t="s">
        <v>77</v>
      </c>
      <c r="D47" s="4" t="s">
        <v>78</v>
      </c>
      <c r="E47" s="4" t="s">
        <v>47</v>
      </c>
      <c r="F47" s="4" t="s">
        <v>48</v>
      </c>
      <c r="G47" s="4" t="s">
        <v>20</v>
      </c>
      <c r="H47" s="4" t="str">
        <f>VLOOKUP(G47,products!$A$2:$C$10,2,FALSE)</f>
        <v>Electronics</v>
      </c>
      <c r="I47" s="4">
        <f>_xlfn.XLOOKUP(G47,products!$A$2:$A$10,products!$C$2:$C$10,"UNKNOWN_ITEM")</f>
        <v>2800</v>
      </c>
      <c r="J47" s="4">
        <v>1</v>
      </c>
      <c r="K47" s="4">
        <v>2800</v>
      </c>
      <c r="L47" s="4">
        <f>I47*J47</f>
        <v>2800</v>
      </c>
      <c r="M47" s="4" t="s">
        <v>38</v>
      </c>
    </row>
    <row r="48" spans="1:13">
      <c r="A48" s="4">
        <v>1051</v>
      </c>
      <c r="B48" s="4" t="s">
        <v>52</v>
      </c>
      <c r="C48" s="4" t="s">
        <v>67</v>
      </c>
      <c r="D48" s="4" t="s">
        <v>68</v>
      </c>
      <c r="E48" s="4" t="s">
        <v>25</v>
      </c>
      <c r="F48" s="4" t="s">
        <v>26</v>
      </c>
      <c r="G48" s="4" t="s">
        <v>36</v>
      </c>
      <c r="H48" s="4" t="str">
        <f>VLOOKUP(G48,products!$A$2:$C$10,2,FALSE)</f>
        <v>Apparel</v>
      </c>
      <c r="I48" s="4">
        <f>_xlfn.XLOOKUP(G48,products!$A$2:$A$10,products!$C$2:$C$10,"UNKNOWN_ITEM")</f>
        <v>1400</v>
      </c>
      <c r="J48" s="4">
        <v>2</v>
      </c>
      <c r="K48" s="4">
        <v>2800</v>
      </c>
      <c r="L48" s="4">
        <f>I48*J48</f>
        <v>2800</v>
      </c>
      <c r="M48" s="4" t="s">
        <v>38</v>
      </c>
    </row>
    <row r="49" spans="1:13">
      <c r="A49" s="4">
        <v>1076</v>
      </c>
      <c r="B49" s="4" t="s">
        <v>37</v>
      </c>
      <c r="C49" s="4" t="s">
        <v>32</v>
      </c>
      <c r="D49" s="4" t="s">
        <v>33</v>
      </c>
      <c r="E49" s="4" t="s">
        <v>34</v>
      </c>
      <c r="F49" s="4" t="s">
        <v>35</v>
      </c>
      <c r="G49" s="4" t="s">
        <v>36</v>
      </c>
      <c r="H49" s="4" t="str">
        <f>VLOOKUP(G49,products!$A$2:$C$10,2,FALSE)</f>
        <v>Apparel</v>
      </c>
      <c r="I49" s="4">
        <f>_xlfn.XLOOKUP(G49,products!$A$2:$A$10,products!$C$2:$C$10,"UNKNOWN_ITEM")</f>
        <v>1400</v>
      </c>
      <c r="J49" s="4">
        <v>2</v>
      </c>
      <c r="K49" s="4">
        <v>2800</v>
      </c>
      <c r="L49" s="4">
        <f>I49*J49</f>
        <v>2800</v>
      </c>
      <c r="M49" s="4" t="s">
        <v>38</v>
      </c>
    </row>
    <row r="50" spans="1:13">
      <c r="A50" s="4">
        <v>1080</v>
      </c>
      <c r="B50" s="4" t="s">
        <v>37</v>
      </c>
      <c r="C50" s="4" t="s">
        <v>55</v>
      </c>
      <c r="D50" s="4" t="s">
        <v>56</v>
      </c>
      <c r="E50" s="4" t="s">
        <v>34</v>
      </c>
      <c r="F50" s="4" t="s">
        <v>35</v>
      </c>
      <c r="G50" s="4" t="s">
        <v>20</v>
      </c>
      <c r="H50" s="4" t="str">
        <f>VLOOKUP(G50,products!$A$2:$C$10,2,FALSE)</f>
        <v>Electronics</v>
      </c>
      <c r="I50" s="4">
        <f>_xlfn.XLOOKUP(G50,products!$A$2:$A$10,products!$C$2:$C$10,"UNKNOWN_ITEM")</f>
        <v>2800</v>
      </c>
      <c r="J50" s="4">
        <v>1</v>
      </c>
      <c r="K50" s="4">
        <v>2800</v>
      </c>
      <c r="L50" s="4">
        <f>I50*J50</f>
        <v>2800</v>
      </c>
      <c r="M50" s="4" t="s">
        <v>38</v>
      </c>
    </row>
    <row r="51" spans="1:13">
      <c r="A51" s="4">
        <v>1032</v>
      </c>
      <c r="B51" s="4" t="s">
        <v>52</v>
      </c>
      <c r="C51" s="4" t="s">
        <v>99</v>
      </c>
      <c r="D51" s="4" t="s">
        <v>100</v>
      </c>
      <c r="E51" s="4" t="s">
        <v>34</v>
      </c>
      <c r="F51" s="4" t="s">
        <v>35</v>
      </c>
      <c r="G51" s="4" t="s">
        <v>74</v>
      </c>
      <c r="H51" s="4" t="str">
        <f>VLOOKUP(G51,products!$A$2:$C$10,2,FALSE)</f>
        <v>Home</v>
      </c>
      <c r="I51" s="4">
        <f>_xlfn.XLOOKUP(G51,products!$A$2:$A$10,products!$C$2:$C$10,"UNKNOWN_ITEM")</f>
        <v>1100</v>
      </c>
      <c r="J51" s="4">
        <v>2</v>
      </c>
      <c r="K51" s="4">
        <v>2200</v>
      </c>
      <c r="L51" s="4">
        <f>I51*J51</f>
        <v>2200</v>
      </c>
      <c r="M51" s="4" t="s">
        <v>38</v>
      </c>
    </row>
    <row r="52" spans="1:13">
      <c r="A52" s="4">
        <v>1039</v>
      </c>
      <c r="B52" s="4" t="s">
        <v>52</v>
      </c>
      <c r="C52" s="4" t="s">
        <v>92</v>
      </c>
      <c r="D52" s="4" t="s">
        <v>93</v>
      </c>
      <c r="E52" s="4" t="s">
        <v>34</v>
      </c>
      <c r="F52" s="4" t="s">
        <v>35</v>
      </c>
      <c r="G52" s="4" t="s">
        <v>74</v>
      </c>
      <c r="H52" s="4" t="str">
        <f>VLOOKUP(G52,products!$A$2:$C$10,2,FALSE)</f>
        <v>Home</v>
      </c>
      <c r="I52" s="4">
        <f>_xlfn.XLOOKUP(G52,products!$A$2:$A$10,products!$C$2:$C$10,"UNKNOWN_ITEM")</f>
        <v>1100</v>
      </c>
      <c r="J52" s="4">
        <v>2</v>
      </c>
      <c r="K52" s="4">
        <v>2200</v>
      </c>
      <c r="L52" s="4">
        <f>I52*J52</f>
        <v>2200</v>
      </c>
      <c r="M52" s="4" t="s">
        <v>38</v>
      </c>
    </row>
    <row r="53" spans="1:13">
      <c r="A53" s="4">
        <v>1070</v>
      </c>
      <c r="B53" s="4" t="s">
        <v>37</v>
      </c>
      <c r="C53" s="4" t="s">
        <v>105</v>
      </c>
      <c r="D53" s="4" t="s">
        <v>106</v>
      </c>
      <c r="E53" s="4" t="s">
        <v>18</v>
      </c>
      <c r="F53" s="4" t="s">
        <v>19</v>
      </c>
      <c r="G53" s="4" t="s">
        <v>74</v>
      </c>
      <c r="H53" s="4" t="str">
        <f>VLOOKUP(G53,products!$A$2:$C$10,2,FALSE)</f>
        <v>Home</v>
      </c>
      <c r="I53" s="4">
        <f>_xlfn.XLOOKUP(G53,products!$A$2:$A$10,products!$C$2:$C$10,"UNKNOWN_ITEM")</f>
        <v>1100</v>
      </c>
      <c r="J53" s="4">
        <v>2</v>
      </c>
      <c r="K53" s="4">
        <v>2200</v>
      </c>
      <c r="L53" s="4">
        <f>I53*J53</f>
        <v>2200</v>
      </c>
      <c r="M53" s="4" t="s">
        <v>38</v>
      </c>
    </row>
    <row r="54" spans="1:13">
      <c r="A54" s="4">
        <v>1007</v>
      </c>
      <c r="B54" s="4" t="s">
        <v>15</v>
      </c>
      <c r="C54" s="4" t="s">
        <v>39</v>
      </c>
      <c r="D54" s="4" t="s">
        <v>40</v>
      </c>
      <c r="E54" s="4" t="s">
        <v>18</v>
      </c>
      <c r="F54" s="4" t="s">
        <v>19</v>
      </c>
      <c r="G54" s="4" t="s">
        <v>73</v>
      </c>
      <c r="H54" s="4" t="str">
        <f>VLOOKUP(G54,products!$A$2:$C$10,2,FALSE)</f>
        <v>Home</v>
      </c>
      <c r="I54" s="4">
        <f>_xlfn.XLOOKUP(G54,products!$A$2:$A$10,products!$C$2:$C$10,"UNKNOWN_ITEM")</f>
        <v>1900</v>
      </c>
      <c r="J54" s="4">
        <v>1</v>
      </c>
      <c r="K54" s="4">
        <v>1900</v>
      </c>
      <c r="L54" s="4">
        <f>I54*J54</f>
        <v>1900</v>
      </c>
      <c r="M54" s="4" t="s">
        <v>38</v>
      </c>
    </row>
    <row r="55" spans="1:13">
      <c r="A55" s="4">
        <v>1009</v>
      </c>
      <c r="B55" s="4" t="s">
        <v>15</v>
      </c>
      <c r="C55" s="4" t="s">
        <v>92</v>
      </c>
      <c r="D55" s="4" t="s">
        <v>93</v>
      </c>
      <c r="E55" s="4" t="s">
        <v>34</v>
      </c>
      <c r="F55" s="4" t="s">
        <v>35</v>
      </c>
      <c r="G55" s="4" t="s">
        <v>73</v>
      </c>
      <c r="H55" s="4" t="str">
        <f>VLOOKUP(G55,products!$A$2:$C$10,2,FALSE)</f>
        <v>Home</v>
      </c>
      <c r="I55" s="4">
        <f>_xlfn.XLOOKUP(G55,products!$A$2:$A$10,products!$C$2:$C$10,"UNKNOWN_ITEM")</f>
        <v>1900</v>
      </c>
      <c r="J55" s="4">
        <v>1</v>
      </c>
      <c r="K55" s="4">
        <v>1900</v>
      </c>
      <c r="L55" s="4">
        <f>I55*J55</f>
        <v>1900</v>
      </c>
      <c r="M55" s="4" t="s">
        <v>38</v>
      </c>
    </row>
    <row r="56" spans="1:13">
      <c r="A56" s="4">
        <v>1046</v>
      </c>
      <c r="B56" s="4" t="s">
        <v>52</v>
      </c>
      <c r="C56" s="4" t="s">
        <v>95</v>
      </c>
      <c r="D56" s="4" t="s">
        <v>96</v>
      </c>
      <c r="E56" s="4" t="s">
        <v>47</v>
      </c>
      <c r="F56" s="4" t="s">
        <v>48</v>
      </c>
      <c r="G56" s="4" t="s">
        <v>73</v>
      </c>
      <c r="H56" s="4" t="str">
        <f>VLOOKUP(G56,products!$A$2:$C$10,2,FALSE)</f>
        <v>Home</v>
      </c>
      <c r="I56" s="4">
        <f>_xlfn.XLOOKUP(G56,products!$A$2:$A$10,products!$C$2:$C$10,"UNKNOWN_ITEM")</f>
        <v>1900</v>
      </c>
      <c r="J56" s="4">
        <v>1</v>
      </c>
      <c r="K56" s="4">
        <v>1900</v>
      </c>
      <c r="L56" s="4">
        <f>I56*J56</f>
        <v>1900</v>
      </c>
      <c r="M56" s="4" t="s">
        <v>38</v>
      </c>
    </row>
    <row r="57" spans="1:13">
      <c r="A57" s="4">
        <v>1072</v>
      </c>
      <c r="B57" s="4" t="s">
        <v>37</v>
      </c>
      <c r="C57" s="4" t="s">
        <v>101</v>
      </c>
      <c r="D57" s="4" t="s">
        <v>51</v>
      </c>
      <c r="E57" s="4" t="s">
        <v>25</v>
      </c>
      <c r="F57" s="4" t="s">
        <v>26</v>
      </c>
      <c r="G57" s="4" t="s">
        <v>73</v>
      </c>
      <c r="H57" s="4" t="str">
        <f>VLOOKUP(G57,products!$A$2:$C$10,2,FALSE)</f>
        <v>Home</v>
      </c>
      <c r="I57" s="4">
        <f>_xlfn.XLOOKUP(G57,products!$A$2:$A$10,products!$C$2:$C$10,"UNKNOWN_ITEM")</f>
        <v>1900</v>
      </c>
      <c r="J57" s="4">
        <v>1</v>
      </c>
      <c r="K57" s="4">
        <v>1900</v>
      </c>
      <c r="L57" s="4">
        <f>I57*J57</f>
        <v>1900</v>
      </c>
      <c r="M57" s="4" t="s">
        <v>38</v>
      </c>
    </row>
    <row r="58" spans="1:13">
      <c r="A58" s="4">
        <v>1024</v>
      </c>
      <c r="B58" s="4" t="s">
        <v>15</v>
      </c>
      <c r="C58" s="4" t="s">
        <v>69</v>
      </c>
      <c r="D58" s="4" t="s">
        <v>102</v>
      </c>
      <c r="E58" s="4" t="s">
        <v>18</v>
      </c>
      <c r="F58" s="4" t="s">
        <v>19</v>
      </c>
      <c r="G58" s="4" t="s">
        <v>36</v>
      </c>
      <c r="H58" s="4" t="str">
        <f>VLOOKUP(G58,products!$A$2:$C$10,2,FALSE)</f>
        <v>Apparel</v>
      </c>
      <c r="I58" s="4">
        <f>_xlfn.XLOOKUP(G58,products!$A$2:$A$10,products!$C$2:$C$10,"UNKNOWN_ITEM")</f>
        <v>1400</v>
      </c>
      <c r="J58" s="4">
        <v>1</v>
      </c>
      <c r="K58" s="4">
        <v>1400</v>
      </c>
      <c r="L58" s="4">
        <f>I58*J58</f>
        <v>1400</v>
      </c>
      <c r="M58" s="4" t="s">
        <v>38</v>
      </c>
    </row>
    <row r="59" spans="1:13">
      <c r="A59" s="4">
        <v>1026</v>
      </c>
      <c r="B59" s="4" t="s">
        <v>15</v>
      </c>
      <c r="C59" s="4" t="s">
        <v>95</v>
      </c>
      <c r="D59" s="4" t="s">
        <v>96</v>
      </c>
      <c r="E59" s="4" t="s">
        <v>47</v>
      </c>
      <c r="F59" s="4" t="s">
        <v>48</v>
      </c>
      <c r="G59" s="4" t="s">
        <v>36</v>
      </c>
      <c r="H59" s="4" t="str">
        <f>VLOOKUP(G59,products!$A$2:$C$10,2,FALSE)</f>
        <v>Apparel</v>
      </c>
      <c r="I59" s="4">
        <f>_xlfn.XLOOKUP(G59,products!$A$2:$A$10,products!$C$2:$C$10,"UNKNOWN_ITEM")</f>
        <v>1400</v>
      </c>
      <c r="J59" s="4">
        <v>1</v>
      </c>
      <c r="K59" s="4">
        <v>1400</v>
      </c>
      <c r="L59" s="4">
        <f>I59*J59</f>
        <v>1400</v>
      </c>
      <c r="M59" s="4" t="s">
        <v>38</v>
      </c>
    </row>
    <row r="60" spans="1:13">
      <c r="A60" s="4">
        <v>1079</v>
      </c>
      <c r="B60" s="4" t="s">
        <v>37</v>
      </c>
      <c r="C60" s="4" t="s">
        <v>67</v>
      </c>
      <c r="D60" s="4" t="s">
        <v>68</v>
      </c>
      <c r="E60" s="4" t="s">
        <v>25</v>
      </c>
      <c r="F60" s="4" t="s">
        <v>26</v>
      </c>
      <c r="G60" s="4" t="s">
        <v>36</v>
      </c>
      <c r="H60" s="4" t="str">
        <f>VLOOKUP(G60,products!$A$2:$C$10,2,FALSE)</f>
        <v>Apparel</v>
      </c>
      <c r="I60" s="4">
        <f>_xlfn.XLOOKUP(G60,products!$A$2:$A$10,products!$C$2:$C$10,"UNKNOWN_ITEM")</f>
        <v>1400</v>
      </c>
      <c r="J60" s="4">
        <v>1</v>
      </c>
      <c r="K60" s="4">
        <v>1400</v>
      </c>
      <c r="L60" s="4">
        <f>I60*J60</f>
        <v>1400</v>
      </c>
      <c r="M60" s="4" t="s">
        <v>38</v>
      </c>
    </row>
    <row r="61" spans="1:13">
      <c r="A61" s="4">
        <v>1005</v>
      </c>
      <c r="B61" s="4" t="s">
        <v>15</v>
      </c>
      <c r="C61" s="4" t="s">
        <v>39</v>
      </c>
      <c r="D61" s="4" t="s">
        <v>40</v>
      </c>
      <c r="E61" s="4" t="s">
        <v>18</v>
      </c>
      <c r="F61" s="4" t="s">
        <v>19</v>
      </c>
      <c r="G61" s="4" t="s">
        <v>74</v>
      </c>
      <c r="H61" s="4" t="str">
        <f>VLOOKUP(G61,products!$A$2:$C$10,2,FALSE)</f>
        <v>Home</v>
      </c>
      <c r="I61" s="4">
        <f>_xlfn.XLOOKUP(G61,products!$A$2:$A$10,products!$C$2:$C$10,"UNKNOWN_ITEM")</f>
        <v>1100</v>
      </c>
      <c r="J61" s="4">
        <v>1</v>
      </c>
      <c r="K61" s="4">
        <v>1100</v>
      </c>
      <c r="L61" s="4">
        <f>I61*J61</f>
        <v>1100</v>
      </c>
      <c r="M61" s="4" t="s">
        <v>38</v>
      </c>
    </row>
    <row r="62" spans="1:13">
      <c r="A62" s="4">
        <v>1025</v>
      </c>
      <c r="B62" s="4" t="s">
        <v>15</v>
      </c>
      <c r="C62" s="4" t="s">
        <v>65</v>
      </c>
      <c r="D62" s="4" t="s">
        <v>66</v>
      </c>
      <c r="E62" s="4" t="s">
        <v>25</v>
      </c>
      <c r="F62" s="4" t="s">
        <v>26</v>
      </c>
      <c r="G62" s="4" t="s">
        <v>74</v>
      </c>
      <c r="H62" s="4" t="str">
        <f>VLOOKUP(G62,products!$A$2:$C$10,2,FALSE)</f>
        <v>Home</v>
      </c>
      <c r="I62" s="4">
        <f>_xlfn.XLOOKUP(G62,products!$A$2:$A$10,products!$C$2:$C$10,"UNKNOWN_ITEM")</f>
        <v>1100</v>
      </c>
      <c r="J62" s="4">
        <v>1</v>
      </c>
      <c r="K62" s="4">
        <v>1100</v>
      </c>
      <c r="L62" s="4">
        <f>I62*J62</f>
        <v>1100</v>
      </c>
      <c r="M62" s="4" t="s">
        <v>38</v>
      </c>
    </row>
    <row r="63" spans="1:13">
      <c r="A63" s="4">
        <v>1048</v>
      </c>
      <c r="B63" s="4" t="s">
        <v>52</v>
      </c>
      <c r="C63" s="4" t="s">
        <v>69</v>
      </c>
      <c r="D63" s="4" t="s">
        <v>102</v>
      </c>
      <c r="E63" s="4" t="s">
        <v>18</v>
      </c>
      <c r="F63" s="4" t="s">
        <v>19</v>
      </c>
      <c r="G63" s="4" t="s">
        <v>74</v>
      </c>
      <c r="H63" s="4" t="str">
        <f>VLOOKUP(G63,products!$A$2:$C$10,2,FALSE)</f>
        <v>Home</v>
      </c>
      <c r="I63" s="4">
        <f>_xlfn.XLOOKUP(G63,products!$A$2:$A$10,products!$C$2:$C$10,"UNKNOWN_ITEM")</f>
        <v>1100</v>
      </c>
      <c r="J63" s="4">
        <v>1</v>
      </c>
      <c r="K63" s="4">
        <v>1100</v>
      </c>
      <c r="L63" s="4">
        <f>I63*J63</f>
        <v>1100</v>
      </c>
      <c r="M63" s="4" t="s">
        <v>38</v>
      </c>
    </row>
    <row r="64" spans="1:13">
      <c r="A64" s="4">
        <v>1089</v>
      </c>
      <c r="B64" s="4" t="s">
        <v>37</v>
      </c>
      <c r="C64" s="4" t="s">
        <v>105</v>
      </c>
      <c r="D64" s="4" t="s">
        <v>106</v>
      </c>
      <c r="E64" s="4" t="s">
        <v>18</v>
      </c>
      <c r="F64" s="4" t="s">
        <v>19</v>
      </c>
      <c r="G64" s="4" t="s">
        <v>74</v>
      </c>
      <c r="H64" s="4" t="str">
        <f>VLOOKUP(G64,products!$A$2:$C$10,2,FALSE)</f>
        <v>Home</v>
      </c>
      <c r="I64" s="4">
        <f>_xlfn.XLOOKUP(G64,products!$A$2:$A$10,products!$C$2:$C$10,"UNKNOWN_ITEM")</f>
        <v>1100</v>
      </c>
      <c r="J64" s="4">
        <v>1</v>
      </c>
      <c r="K64" s="4">
        <v>1100</v>
      </c>
      <c r="L64" s="4">
        <f>I64*J64</f>
        <v>1100</v>
      </c>
      <c r="M64" s="4" t="s">
        <v>38</v>
      </c>
    </row>
    <row r="65" spans="10:10">
      <c r="J65">
        <f>SUM(J2:J64)</f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1580D-7988-428A-99C3-1512630F7FD1}">
  <dimension ref="A2:F8"/>
  <sheetViews>
    <sheetView workbookViewId="0">
      <selection activeCell="A2" sqref="A2"/>
    </sheetView>
  </sheetViews>
  <sheetFormatPr defaultRowHeight="15"/>
  <cols>
    <col min="1" max="1" width="15" bestFit="1" customWidth="1"/>
    <col min="2" max="2" width="10" bestFit="1" customWidth="1"/>
    <col min="3" max="3" width="7.7109375" bestFit="1" customWidth="1"/>
    <col min="4" max="5" width="6.5703125" bestFit="1" customWidth="1"/>
    <col min="6" max="6" width="11.7109375" bestFit="1" customWidth="1"/>
  </cols>
  <sheetData>
    <row r="2" spans="1:6">
      <c r="A2" t="s">
        <v>107</v>
      </c>
    </row>
    <row r="3" spans="1:6">
      <c r="A3" s="8" t="s">
        <v>108</v>
      </c>
      <c r="B3" s="8" t="s">
        <v>6</v>
      </c>
    </row>
    <row r="4" spans="1:6">
      <c r="A4" s="8" t="s">
        <v>9</v>
      </c>
      <c r="B4" t="s">
        <v>34</v>
      </c>
      <c r="C4" t="s">
        <v>47</v>
      </c>
      <c r="D4" t="s">
        <v>18</v>
      </c>
      <c r="E4" t="s">
        <v>25</v>
      </c>
      <c r="F4" t="s">
        <v>109</v>
      </c>
    </row>
    <row r="5" spans="1:6">
      <c r="A5" t="s">
        <v>83</v>
      </c>
      <c r="B5" s="9">
        <v>10600</v>
      </c>
      <c r="C5" s="9">
        <v>19400</v>
      </c>
      <c r="D5" s="9">
        <v>10000</v>
      </c>
      <c r="E5" s="9">
        <v>37500</v>
      </c>
      <c r="F5" s="9">
        <v>77500</v>
      </c>
    </row>
    <row r="6" spans="1:6">
      <c r="A6" t="s">
        <v>82</v>
      </c>
      <c r="B6" s="9">
        <v>21400</v>
      </c>
      <c r="C6" s="9">
        <v>73400</v>
      </c>
      <c r="D6" s="9">
        <v>28700</v>
      </c>
      <c r="E6" s="9">
        <v>18800</v>
      </c>
      <c r="F6" s="9">
        <v>142300</v>
      </c>
    </row>
    <row r="7" spans="1:6">
      <c r="A7" t="s">
        <v>81</v>
      </c>
      <c r="B7" s="9">
        <v>37500</v>
      </c>
      <c r="C7" s="9">
        <v>26500</v>
      </c>
      <c r="D7" s="9">
        <v>43800</v>
      </c>
      <c r="E7" s="9">
        <v>18600</v>
      </c>
      <c r="F7" s="9">
        <v>126400</v>
      </c>
    </row>
    <row r="8" spans="1:6">
      <c r="A8" t="s">
        <v>109</v>
      </c>
      <c r="B8" s="9">
        <v>69500</v>
      </c>
      <c r="C8" s="9">
        <v>119300</v>
      </c>
      <c r="D8" s="9">
        <v>82500</v>
      </c>
      <c r="E8" s="9">
        <v>74900</v>
      </c>
      <c r="F8" s="9">
        <v>346200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D530F-9EF9-4D35-8A9E-472832DD7459}">
  <dimension ref="A2:C7"/>
  <sheetViews>
    <sheetView workbookViewId="0">
      <selection activeCell="A2" sqref="A2"/>
    </sheetView>
  </sheetViews>
  <sheetFormatPr defaultRowHeight="15"/>
  <cols>
    <col min="1" max="1" width="16.140625" bestFit="1" customWidth="1"/>
    <col min="2" max="2" width="15.5703125" bestFit="1" customWidth="1"/>
    <col min="3" max="3" width="15" bestFit="1" customWidth="1"/>
  </cols>
  <sheetData>
    <row r="2" spans="1:3">
      <c r="A2" t="s">
        <v>107</v>
      </c>
    </row>
    <row r="3" spans="1:3">
      <c r="A3" s="8" t="s">
        <v>1</v>
      </c>
      <c r="B3" t="s">
        <v>110</v>
      </c>
      <c r="C3" t="s">
        <v>108</v>
      </c>
    </row>
    <row r="4" spans="1:3">
      <c r="A4" t="s">
        <v>15</v>
      </c>
      <c r="B4" s="9">
        <v>19307</v>
      </c>
      <c r="C4" s="9">
        <v>98300</v>
      </c>
    </row>
    <row r="5" spans="1:3">
      <c r="A5" t="s">
        <v>52</v>
      </c>
      <c r="B5" s="9">
        <v>20832</v>
      </c>
      <c r="C5" s="9">
        <v>93100</v>
      </c>
    </row>
    <row r="6" spans="1:3">
      <c r="A6" t="s">
        <v>37</v>
      </c>
      <c r="B6" s="9">
        <v>25823</v>
      </c>
      <c r="C6" s="9">
        <v>154800</v>
      </c>
    </row>
    <row r="7" spans="1:3">
      <c r="A7" t="s">
        <v>109</v>
      </c>
      <c r="B7" s="9">
        <v>65962</v>
      </c>
      <c r="C7" s="9">
        <v>346200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Dhanush. S Dhanush. S</cp:lastModifiedBy>
  <cp:revision/>
  <dcterms:created xsi:type="dcterms:W3CDTF">2026-10-26T07:13:33Z</dcterms:created>
  <dcterms:modified xsi:type="dcterms:W3CDTF">2026-10-26T11:19:10Z</dcterms:modified>
  <cp:category/>
  <cp:contentStatus/>
</cp:coreProperties>
</file>